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M xử lý" sheetId="2" r:id="rId6"/>
    <sheet state="visible" name="Registrations" sheetId="3" r:id="rId7"/>
    <sheet state="visible" name="Slots" sheetId="4" r:id="rId8"/>
    <sheet state="visible" name="Divisions" sheetId="5" r:id="rId9"/>
    <sheet state="visible" name="Config" sheetId="6" r:id="rId10"/>
    <sheet state="visible" name="ActivityLog" sheetId="7" r:id="rId11"/>
    <sheet state="visible" name="AutoEmai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Mỗi lượt đăng ký một dòng. Không đặt công thức trong sheet này để dữ liệu từ trang đăng ký nối tiếp đúng dòng.</t>
      </text>
    </comment>
    <comment authorId="0" ref="L1">
      <text>
        <t xml:space="preserve">Chọn 1 trong: Chờ nộp tiền / Đã khai nộp - chờ đối soát / Đã xác nhận / Từ chối / Hủy</t>
      </text>
    </comment>
    <comment authorId="0" ref="O1">
      <text>
        <t xml:space="preserve">Số tiền: chỉ PM &amp; Kế toán xem. Không chia sẻ sheet này rộng rãi.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Nguồn: danh sách WH / No / Model (90 dòng) do chị Hoàng Minh Hiền gửi trong chat, 28/09/2026.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Nguồn: danh sách 173 bộ phận do chị Hoàng Minh Hiền gửi trong chat, 28/09/2026.</t>
      </text>
    </comment>
  </commentList>
</comments>
</file>

<file path=xl/sharedStrings.xml><?xml version="1.0" encoding="utf-8"?>
<sst xmlns="http://schemas.openxmlformats.org/spreadsheetml/2006/main" count="1043" uniqueCount="499">
  <si>
    <t>PM xử lý: danh sách đơn cần đối soát</t>
  </si>
  <si>
    <t>Tổng hợp đăng ký bán hàng nội bộ</t>
  </si>
  <si>
    <t>WH (Kho)</t>
  </si>
  <si>
    <t>Timestamp</t>
  </si>
  <si>
    <t>Số liệu tự tính từ sheet Registrations và Slots. Ô nền vàng ở sheet Config là ô cần điền.</t>
  </si>
  <si>
    <t>1. Theo kho</t>
  </si>
  <si>
    <t>Mã Đợt</t>
  </si>
  <si>
    <t>Bộ Phận</t>
  </si>
  <si>
    <t>No</t>
  </si>
  <si>
    <t>Mã NV Đăng Ký</t>
  </si>
  <si>
    <t>Slot ID</t>
  </si>
  <si>
    <t>Họ Tên NV Đăng Ký</t>
  </si>
  <si>
    <t>Model</t>
  </si>
  <si>
    <t>Kho</t>
  </si>
  <si>
    <t>Trạng Thái Slot</t>
  </si>
  <si>
    <t>Mã Model</t>
  </si>
  <si>
    <t>Số Lượt Đăng Ký</t>
  </si>
  <si>
    <t>Số Điện Thoại</t>
  </si>
  <si>
    <t>Địa Chỉ Giao Hàng</t>
  </si>
  <si>
    <t>Cam Kết Jeong-Do</t>
  </si>
  <si>
    <t>Khớp Kho</t>
  </si>
  <si>
    <t>Loại (Grade)</t>
  </si>
  <si>
    <t>Giá bán (VNĐ)</t>
  </si>
  <si>
    <t>AYC</t>
  </si>
  <si>
    <t>Trạng Thái</t>
  </si>
  <si>
    <t>Họ Tên NV Nộp Tiền</t>
  </si>
  <si>
    <t>Mã NV Nộp Tiền</t>
  </si>
  <si>
    <t>Tổng slot</t>
  </si>
  <si>
    <t>Đã đăng ký</t>
  </si>
  <si>
    <t>Số Tiền Đã Chuyển Khoản</t>
  </si>
  <si>
    <t>Còn trống</t>
  </si>
  <si>
    <t>Ngân Hàng &amp; Mã GD</t>
  </si>
  <si>
    <t>Tỷ lệ đã đăng ký</t>
  </si>
  <si>
    <t>Thời Gian Nộp Tiền</t>
  </si>
  <si>
    <t>Link Biên Lai</t>
  </si>
  <si>
    <t>AYA</t>
  </si>
  <si>
    <t>PM Xác Nhận Bởi</t>
  </si>
  <si>
    <t>#001</t>
  </si>
  <si>
    <t>Ngày PM Xác Nhận</t>
  </si>
  <si>
    <t>Ghi Chú</t>
  </si>
  <si>
    <t>User Agent</t>
  </si>
  <si>
    <t>27LX6TDGA.ATV</t>
  </si>
  <si>
    <t>Mã yêu cầu (hệ thống)</t>
  </si>
  <si>
    <t>Sheet này tự cập nhật và chỉ để xem. Đơn chờ đối soát xếp trên cùng, rồi theo thứ tự thời gian. Muốn đổi trạng thái: bấm "Sửa dòng" ở cột A để nhảy tới đúng dòng trong Registrations, chọn trạng thái ở cột L.</t>
  </si>
  <si>
    <t>AYB</t>
  </si>
  <si>
    <t>Sửa</t>
  </si>
  <si>
    <t>Trạng thái</t>
  </si>
  <si>
    <t>Thời gian đăng ký</t>
  </si>
  <si>
    <t>Mã NV</t>
  </si>
  <si>
    <t>Họ tên</t>
  </si>
  <si>
    <t>Bộ phận</t>
  </si>
  <si>
    <t>Slot</t>
  </si>
  <si>
    <t>NV nộp tiền</t>
  </si>
  <si>
    <t>Mã NV nộp</t>
  </si>
  <si>
    <t>Nộp hộ?</t>
  </si>
  <si>
    <t>Số tiền</t>
  </si>
  <si>
    <t>Ngân hàng &amp; Mã GD</t>
  </si>
  <si>
    <t>Giờ nộp</t>
  </si>
  <si>
    <t>Biên lai</t>
  </si>
  <si>
    <t>Ghi chú</t>
  </si>
  <si>
    <t>A</t>
  </si>
  <si>
    <t>#002</t>
  </si>
  <si>
    <t>43UA8450PSA.ATV</t>
  </si>
  <si>
    <t>Tổng</t>
  </si>
  <si>
    <t>2. Theo trạng thái đơn</t>
  </si>
  <si>
    <t>B</t>
  </si>
  <si>
    <t>Số đơn</t>
  </si>
  <si>
    <t>Chờ nộp tiền</t>
  </si>
  <si>
    <t>#003</t>
  </si>
  <si>
    <t>43UQ7050PSA.ATVQ</t>
  </si>
  <si>
    <t>Đã khai nộp - chờ đối soát</t>
  </si>
  <si>
    <t>Đã xác nhận</t>
  </si>
  <si>
    <t>Từ chối</t>
  </si>
  <si>
    <t>Hủy</t>
  </si>
  <si>
    <t>Chưa có trạng thái</t>
  </si>
  <si>
    <t>Tổng số đơn</t>
  </si>
  <si>
    <t>#004</t>
  </si>
  <si>
    <t>55QNED86ASA.ATV</t>
  </si>
  <si>
    <t>3. Kiểm soát (Jeong-Do)</t>
  </si>
  <si>
    <t>Chỉ tiêu</t>
  </si>
  <si>
    <t>Kết quả</t>
  </si>
  <si>
    <t>Cần làm khi khác 0</t>
  </si>
  <si>
    <t>Tổng lượt đăng ký</t>
  </si>
  <si>
    <t>Số mã NV khác nhau</t>
  </si>
  <si>
    <t>Lượt đăng ký vượt hạn mức 1 SP/NV</t>
  </si>
  <si>
    <t>Lọc cột Mã NV (tô đỏ) để xử lý đơn thừa</t>
  </si>
  <si>
    <t>Slot bị đăng ký trùng</t>
  </si>
  <si>
    <t>#005</t>
  </si>
  <si>
    <t>55QNED86BSA.ATV</t>
  </si>
  <si>
    <t>Xét theo Timestamp, giữ người đến trước</t>
  </si>
  <si>
    <t>Đăng ký sai kho so với slot</t>
  </si>
  <si>
    <t>Liên hệ NV xác nhận lại kho</t>
  </si>
  <si>
    <t>Slot không có trong danh sách</t>
  </si>
  <si>
    <t>#006</t>
  </si>
  <si>
    <t>55UA8450PSA.ATV</t>
  </si>
  <si>
    <t>Kiểm tra mã slot NV nhập</t>
  </si>
  <si>
    <t>Chưa xác nhận cam kết Jeong-Do</t>
  </si>
  <si>
    <t>Yêu cầu NV xác nhận trước khi giao hàng</t>
  </si>
  <si>
    <t>Nộp hộ (người nộp khác người đăng ký)</t>
  </si>
  <si>
    <t>#007</t>
  </si>
  <si>
    <t>Đối chiếu sao kê theo tên người nộp</t>
  </si>
  <si>
    <t>65QNED80BSA.ATV</t>
  </si>
  <si>
    <t>#008</t>
  </si>
  <si>
    <t>65QNED86ASA.ATV</t>
  </si>
  <si>
    <t>#009</t>
  </si>
  <si>
    <t>65QNED86BSA.ATV</t>
  </si>
  <si>
    <t>#010</t>
  </si>
  <si>
    <t>75QNED82ASA.AGADLHX</t>
  </si>
  <si>
    <t>#011</t>
  </si>
  <si>
    <t>75QNED86BSA.ATV</t>
  </si>
  <si>
    <t>#012</t>
  </si>
  <si>
    <t>75QNED9MASA.AGAFLHX</t>
  </si>
  <si>
    <t>#013</t>
  </si>
  <si>
    <t>OLED65G5PSA.ATV</t>
  </si>
  <si>
    <t>#014</t>
  </si>
  <si>
    <t>OLED77C44LA.AEUQLHX</t>
  </si>
  <si>
    <t>Nhóm</t>
  </si>
  <si>
    <t>CUSTOMER CARE &amp; SERVICE DIRECTOR</t>
  </si>
  <si>
    <t>Quản lý &amp; khác</t>
  </si>
  <si>
    <t>D2C DEPARTMENT HEAD</t>
  </si>
  <si>
    <t>ES CAC PM</t>
  </si>
  <si>
    <t>GTM DEPARTMENT</t>
  </si>
  <si>
    <t>HCM BRANCH</t>
  </si>
  <si>
    <t>HCM</t>
  </si>
  <si>
    <t>HCM BUSINESS PLANNING</t>
  </si>
  <si>
    <t>HCM DEMAND PLANNING</t>
  </si>
  <si>
    <t>HCM DX Marketing</t>
  </si>
  <si>
    <t>HCM MARKETING SUPPORT (B2B)</t>
  </si>
  <si>
    <t>HCM MOBILE FIELD TEST</t>
  </si>
  <si>
    <t>HCM NEW BIZ DEVELOPMENT</t>
  </si>
  <si>
    <t>HCM PM (IT)</t>
  </si>
  <si>
    <t>HCM PRODUCT MKT (GSM)</t>
  </si>
  <si>
    <t>HCM PRODUCT MKT (HE)</t>
  </si>
  <si>
    <t>HCM SALES (BRAND-SHOP)</t>
  </si>
  <si>
    <t>HCM SALES (MOBILE)</t>
  </si>
  <si>
    <t>HCM SALES B2B (CAC) CHILLER</t>
  </si>
  <si>
    <t>HCM SALES B2B (ES CAC) Project New Customer</t>
  </si>
  <si>
    <t>HCM SALES B2B (ID) TASK Team</t>
  </si>
  <si>
    <t>HCM SALES B2B (IT)</t>
  </si>
  <si>
    <t>HCM SALES B2B Total Solution (Vertical)</t>
  </si>
  <si>
    <t>HCM SALES D2B2C OBS Task</t>
  </si>
  <si>
    <t>HCM SALES D2D PORTAL</t>
  </si>
  <si>
    <t>HCM SCM LOGISTICS</t>
  </si>
  <si>
    <t>HCM SVC DONG NAI</t>
  </si>
  <si>
    <t>#015</t>
  </si>
  <si>
    <t>HCM TRADE MKT (MOBILE)</t>
  </si>
  <si>
    <t>OLED77C54LA.AEUQLHX</t>
  </si>
  <si>
    <t>HN DX Marketing</t>
  </si>
  <si>
    <t>HN</t>
  </si>
  <si>
    <t>HN SALES (BRAND-SHOP)</t>
  </si>
  <si>
    <t>HN SALES (CE)_Traditional Channel</t>
  </si>
  <si>
    <t>HN SALES (ES RAC) - Modern Trade</t>
  </si>
  <si>
    <t>HN SALES (ES RAC)-Traditional Channel</t>
  </si>
  <si>
    <t>HN SALES (HA)</t>
  </si>
  <si>
    <t>HN SALES (HA) - Modern Trade</t>
  </si>
  <si>
    <t>HN SALES (HA) VCC TASK</t>
  </si>
  <si>
    <t>HN SALES (HA)-Traditional Channel</t>
  </si>
  <si>
    <t>HN SALES (HE)</t>
  </si>
  <si>
    <t>HN SALES (HE) - Modern Trade</t>
  </si>
  <si>
    <t>HN SALES (HE)-Traditional Channel</t>
  </si>
  <si>
    <t>HN SALES B2B (CAC) CHILLER</t>
  </si>
  <si>
    <t>HN SALES B2B (ES CAC) Project New Customer</t>
  </si>
  <si>
    <t>HN SALES B2B (IT)</t>
  </si>
  <si>
    <t>HN SALES CE (HEAD)</t>
  </si>
  <si>
    <t>HN SALES D2B/D2B2C OBS</t>
  </si>
  <si>
    <t>HN SALES ONLINE BUSINESS</t>
  </si>
  <si>
    <t>HN SCM HEAD</t>
  </si>
  <si>
    <t>HN SCM LOGISTICS (IMPORT)</t>
  </si>
  <si>
    <t>HN SCM ORDER DESK</t>
  </si>
  <si>
    <t>HN SUB ORG OF LOGISTIC</t>
  </si>
  <si>
    <t>HN SVC FIELD SUPPORT</t>
  </si>
  <si>
    <t>HN SVC SUPPORTING (WH)</t>
  </si>
  <si>
    <t>HN TRADE MKT (MOBILE)</t>
  </si>
  <si>
    <t>HUMAN RESOURCES Team</t>
  </si>
  <si>
    <t>LGEVH Sales Subsidiary</t>
  </si>
  <si>
    <t>MIDDLE ACCOUNTING TEAM</t>
  </si>
  <si>
    <t>MIDDLE</t>
  </si>
  <si>
    <t>MIDDLE BRANCH</t>
  </si>
  <si>
    <t>MIDDLE CUSTOMER CARE &amp; SERVICE DA NANG</t>
  </si>
  <si>
    <t>MIDDLE CUSTOMER CARE &amp; SERVICE NETWORK</t>
  </si>
  <si>
    <t>MIDDLE CUSTOMER CARE &amp; SERVICE PART</t>
  </si>
  <si>
    <t>MIDDLE GENERAL AFFAIR</t>
  </si>
  <si>
    <t>MIDDLE MARKETING (MOBILE)</t>
  </si>
  <si>
    <t>MIDDLE MOBILE FIELD TEST</t>
  </si>
  <si>
    <t>MIDDLE RETAIL MKT</t>
  </si>
  <si>
    <t>MIDDLE SALES (CE) HEAD</t>
  </si>
  <si>
    <t>MIDDLE SALES (GSM)</t>
  </si>
  <si>
    <t>MIDDLE SALES (RAC)</t>
  </si>
  <si>
    <t>MIDDLE SALES B2B (ES PROJECT) NHATRANG</t>
  </si>
  <si>
    <t>MIDDLE SALES B2B (ES PROJECT) POST SALES</t>
  </si>
  <si>
    <t>MIDDLE SALES B2B (ID)</t>
  </si>
  <si>
    <t>MIDDLE SALES B2B ES PROJECT</t>
  </si>
  <si>
    <t>MIDDLE SALES D2D</t>
  </si>
  <si>
    <t>MIDDLE SCM</t>
  </si>
  <si>
    <t>MIDDLE SVC NHA TRANG</t>
  </si>
  <si>
    <t>MS ID&amp;IT PM</t>
  </si>
  <si>
    <t>#016</t>
  </si>
  <si>
    <t>OLED83B5PSA.AGAQLHX</t>
  </si>
  <si>
    <t>NORTH ACCOUNTING TEAM</t>
  </si>
  <si>
    <t>NORTH</t>
  </si>
  <si>
    <t>NORTH AUDIT TEAM</t>
  </si>
  <si>
    <t>NORTH BUSINESS INNOVATION TEAM</t>
  </si>
  <si>
    <t>NORTH BUSINESS PLANNING</t>
  </si>
  <si>
    <t>NORTH CHANNEL STRATEGY</t>
  </si>
  <si>
    <t>NORTH CORP.MARKETING</t>
  </si>
  <si>
    <t>NORTH CUSTOMER CARE &amp; SERVICE CIC TEAM</t>
  </si>
  <si>
    <t>NORTH CUSTOMER CARE &amp; SERVICE DAM QUANG TRUNG</t>
  </si>
  <si>
    <t>NORTH CUSTOMER CARE &amp; SERVICE HAI PHONG</t>
  </si>
  <si>
    <t>NORTH CUSTOMER CARE &amp; SERVICE LE VAN LUONG</t>
  </si>
  <si>
    <t>NORTH CUSTOMER CARE &amp; SERVICE NETWORK</t>
  </si>
  <si>
    <t>NORTH CUSTOMER CARE &amp; SERVICE NETWORK_Nationwide</t>
  </si>
  <si>
    <t>NORTH CUSTOMER CARE &amp; SERVICE NEW BUSINESS</t>
  </si>
  <si>
    <t>NORTH CUSTOMER CARE &amp; SERVICE OPERATION TASK</t>
  </si>
  <si>
    <t>NORTH CUSTOMER CARE &amp; SERVICE PART</t>
  </si>
  <si>
    <t>NORTH CUSTOMER CARE &amp; SERVICE SUPPORTING</t>
  </si>
  <si>
    <t>NORTH DEMAND PLANNING</t>
  </si>
  <si>
    <t>NORTH DIGITAL MARKETING</t>
  </si>
  <si>
    <t>NORTH FINANCE TEAM</t>
  </si>
  <si>
    <t>NORTH GENERAL PROCUREMENT</t>
  </si>
  <si>
    <t>NORTH GENERAL AFFAIR</t>
  </si>
  <si>
    <t>NORTH GTM TRAINING</t>
  </si>
  <si>
    <t>NORTH HUMAN RESOURCES</t>
  </si>
  <si>
    <t>NORTH INFORMATIC TECHNOLOGY</t>
  </si>
  <si>
    <t>NORTH LEGAL</t>
  </si>
  <si>
    <t>NORTH RETAIL MKT</t>
  </si>
  <si>
    <t>NORTH SALES (MS IT)</t>
  </si>
  <si>
    <t>NORTH SALES ADMINISTRATION</t>
  </si>
  <si>
    <t>NORTH SALES B2B (ES PROJECT) POST SALES</t>
  </si>
  <si>
    <t>NORTH SALES B2B (ES PROJECT) Total HVAC Solution</t>
  </si>
  <si>
    <t>NORTH SALES B2B (MS ID)</t>
  </si>
  <si>
    <t>NORTH SALES B2B ES PROJECT</t>
  </si>
  <si>
    <t>NORTH SALES B2B ES PROJECT QUANG NINH</t>
  </si>
  <si>
    <t>NORTH SALES B2B ES PROJECT SE</t>
  </si>
  <si>
    <t>NORTH SALES B2B MS MEDICAL</t>
  </si>
  <si>
    <t>NORTH SALES D2D</t>
  </si>
  <si>
    <t>#017</t>
  </si>
  <si>
    <t>OLED83M4PUA.AUSYLHX</t>
  </si>
  <si>
    <t>NORTH SALES D2D NEW BUSINESS PART</t>
  </si>
  <si>
    <t>NORTH SALES ES CHANNEL</t>
  </si>
  <si>
    <t>NORTH SALES SAC CHANNEL</t>
  </si>
  <si>
    <t>NORTH SCM</t>
  </si>
  <si>
    <t>NORTH TAX TEAM</t>
  </si>
  <si>
    <t>OPERATION HEAD</t>
  </si>
  <si>
    <t>PD ES CHANNEL</t>
  </si>
  <si>
    <t>PM / PD</t>
  </si>
  <si>
    <t>PD ES PROJECT</t>
  </si>
  <si>
    <t>PD HS</t>
  </si>
  <si>
    <t>PD MS</t>
  </si>
  <si>
    <t>PD MS ID&amp;IT</t>
  </si>
  <si>
    <t>PM ES AIRCARE</t>
  </si>
  <si>
    <t>PM ES CAC</t>
  </si>
  <si>
    <t>PM HS</t>
  </si>
  <si>
    <t>PM MS</t>
  </si>
  <si>
    <t>PM MS ID</t>
  </si>
  <si>
    <t>PM MS IT</t>
  </si>
  <si>
    <t>SAL CFO</t>
  </si>
  <si>
    <t>SAL DGD</t>
  </si>
  <si>
    <t>SALES B2B ES PROJECT HEAD</t>
  </si>
  <si>
    <t>SALES B2B MS ID HEAD</t>
  </si>
  <si>
    <t>SALES ES CHANNEL HEAD</t>
  </si>
  <si>
    <t>SOUTH ACCOUNTING TEAM</t>
  </si>
  <si>
    <t>SOUTH</t>
  </si>
  <si>
    <t>SOUTH AR MANAGEMENT TEAM</t>
  </si>
  <si>
    <t>SOUTH BUSINESS INNOVATION TEAM</t>
  </si>
  <si>
    <t>SOUTH CHANNEL STRATEGY</t>
  </si>
  <si>
    <t>SOUTH CORP.MARKETING</t>
  </si>
  <si>
    <t>SOUTH CUSTOMER CARE &amp; SERVICE BINH DUONG</t>
  </si>
  <si>
    <t>SOUTH CUSTOMER CARE &amp; SERVICE CAN THO</t>
  </si>
  <si>
    <t>SOUTH CUSTOMER CARE &amp; SERVICE HUYNH TAN PHAT</t>
  </si>
  <si>
    <t>SOUTH CUSTOMER CARE &amp; SERVICE NETWORK</t>
  </si>
  <si>
    <t>SOUTH CUSTOMER CARE &amp; SERVICE PHAN VAN TRI</t>
  </si>
  <si>
    <t>SOUTH CUSTOMER CARE &amp; SERVICE SUPPORTING</t>
  </si>
  <si>
    <t>SOUTH DIGITAL MARKETING</t>
  </si>
  <si>
    <t>SOUTH GENERAL AFFAIR</t>
  </si>
  <si>
    <t>SOUTH HUMAN RESOURCES</t>
  </si>
  <si>
    <t>#018</t>
  </si>
  <si>
    <t>SOUTH INFORMATIC TECHNOLOGY</t>
  </si>
  <si>
    <t>OLED97M5PSA.AAU</t>
  </si>
  <si>
    <t>SOUTH OBS OPERATION</t>
  </si>
  <si>
    <t>SOUTH PM ES RAC</t>
  </si>
  <si>
    <t>SOUTH PM HS</t>
  </si>
  <si>
    <t>SOUTH RETAIL MKT</t>
  </si>
  <si>
    <t>SOUTH SALES ADMINISTRATION</t>
  </si>
  <si>
    <t>SOUTH SALES B2B (ES PROJECT) POST SALES</t>
  </si>
  <si>
    <t>SOUTH SALES B2B (ES PROJECT) Total HVAC Solution</t>
  </si>
  <si>
    <t>SOUTH SALES B2B (MS ID)</t>
  </si>
  <si>
    <t>SOUTH SALES B2B ES PROJECT</t>
  </si>
  <si>
    <t>SOUTH SALES B2B ES PROJECT SE</t>
  </si>
  <si>
    <t>SOUTH SALES CWM TASK</t>
  </si>
  <si>
    <t>SOUTH SALES D2C CONSULTANT</t>
  </si>
  <si>
    <t>SOUTH SALES D2C FLATFORM</t>
  </si>
  <si>
    <t>SOUTH SALES D2C OBS</t>
  </si>
  <si>
    <t>SOUTH SALES D2D</t>
  </si>
  <si>
    <t>SOUTH SALES E-COMMERCE</t>
  </si>
  <si>
    <t>SOUTH SALES ES CHANNEL</t>
  </si>
  <si>
    <t>SOUTH SALES KAM (ES RAC)</t>
  </si>
  <si>
    <t>SOUTH SALES KAM (HS)</t>
  </si>
  <si>
    <t>SOUTH SALES KAM (MS)</t>
  </si>
  <si>
    <t>SOUTH SALES MBW TEAM</t>
  </si>
  <si>
    <t>SOUTH SALES MODERN CHANNEL</t>
  </si>
  <si>
    <t>SOUTH SALES MODERN CHANNEL (HS)</t>
  </si>
  <si>
    <t>SOUTH SALES MS IT</t>
  </si>
  <si>
    <t>SOUTH SCM</t>
  </si>
  <si>
    <t>SOUTH TAX TEAM</t>
  </si>
  <si>
    <t>OTHER</t>
  </si>
  <si>
    <t>#019</t>
  </si>
  <si>
    <t>OLED77C6PJA.AJLQLHX</t>
  </si>
  <si>
    <t>GoodSet</t>
  </si>
  <si>
    <t>#020</t>
  </si>
  <si>
    <t>OLED77B6PCA.ACNQLHX</t>
  </si>
  <si>
    <t>#021</t>
  </si>
  <si>
    <t>75QNED70BSA.AGAFLHX</t>
  </si>
  <si>
    <t>Key</t>
  </si>
  <si>
    <t>#022</t>
  </si>
  <si>
    <t>75QNED81B6A.AEUNLHX</t>
  </si>
  <si>
    <t>Value</t>
  </si>
  <si>
    <t>Description</t>
  </si>
  <si>
    <t>CAMPAIGN_CODE</t>
  </si>
  <si>
    <t>Mã đợt bán, ví dụ IS-2026-10-01</t>
  </si>
  <si>
    <t>CAMPAIGN_NAME</t>
  </si>
  <si>
    <t>Tên đợt bán hiển thị trên trang đăng ký</t>
  </si>
  <si>
    <t>OPEN_TIME</t>
  </si>
  <si>
    <t>Thời điểm mở cổng (dd/mm/yyyy hh:mm)</t>
  </si>
  <si>
    <t>CLOSE_TIME</t>
  </si>
  <si>
    <t>Hạn chót đăng ký (dd/mm/yyyy hh:mm)</t>
  </si>
  <si>
    <t>MAX_PER_EMPLOYEE</t>
  </si>
  <si>
    <t>Hạn mức sản phẩm cho mỗi nhân viên (theo portal)</t>
  </si>
  <si>
    <t>WAREHOUSES</t>
  </si>
  <si>
    <t>AYA, AYB, AYC</t>
  </si>
  <si>
    <t>Danh sách kho</t>
  </si>
  <si>
    <t>SLOT_TOTAL</t>
  </si>
  <si>
    <t>#023</t>
  </si>
  <si>
    <t>65NU850BPUA.AUSFLHX</t>
  </si>
  <si>
    <t>Tự đếm từ sheet Slots</t>
  </si>
  <si>
    <t>PIC_EMAIL_PRIMARY</t>
  </si>
  <si>
    <t>Email PM phụ trách, nhận thông báo đăng ký</t>
  </si>
  <si>
    <t>PIC_EMAIL_CC</t>
  </si>
  <si>
    <t>Email CC (để trống nếu không có)</t>
  </si>
  <si>
    <t>PIC_NAME_PRIMARY</t>
  </si>
  <si>
    <t>Tên hiển thị PM phụ trách</t>
  </si>
  <si>
    <t>BANK_ACCOUNT_NAME</t>
  </si>
  <si>
    <t>CÔNG TY TNHH LG ELECTRONICS VIỆT NAM HẢI PHÒNG</t>
  </si>
  <si>
    <t>Lấy từ bản mẫu portal. Cần Tài chính xác nhận trước khi dùng</t>
  </si>
  <si>
    <t>BANK_ACCOUNT_NO</t>
  </si>
  <si>
    <t>0991000012525</t>
  </si>
  <si>
    <t>BANK_NAME</t>
  </si>
  <si>
    <t>Vietcombank - Chi nhánh Tây Hồ</t>
  </si>
  <si>
    <t>TRANSFER_SYNTAX</t>
  </si>
  <si>
    <t>[Mã NV] - [Họ Tên] - [Mã Model] - [Slot ID]</t>
  </si>
  <si>
    <t>Cú pháp nội dung chuyển khoản</t>
  </si>
  <si>
    <t>Ô nền vàng: cần điền hoặc cần xác nhận trước khi mở đợt bán.</t>
  </si>
  <si>
    <t>#024</t>
  </si>
  <si>
    <t>75MRGB86BSA.AGADLHX</t>
  </si>
  <si>
    <t>#025</t>
  </si>
  <si>
    <t>100QNED89AS.AGAFLHX</t>
  </si>
  <si>
    <t>Action</t>
  </si>
  <si>
    <t>Details</t>
  </si>
  <si>
    <t>REGISTER</t>
  </si>
  <si>
    <t>TEST001</t>
  </si>
  <si>
    <t>#090</t>
  </si>
  <si>
    <t>TEST-Claude</t>
  </si>
  <si>
    <t>Dòng 2</t>
  </si>
  <si>
    <t>REGISTER_REJECTED_DUP_SLOT</t>
  </si>
  <si>
    <t>TEST002</t>
  </si>
  <si>
    <t>Slot đã có người đăng ký, không ghi đơn</t>
  </si>
  <si>
    <t>PAYMENT</t>
  </si>
  <si>
    <t>Dòng 2 | chưa có file biên lai</t>
  </si>
  <si>
    <t>TESTC05</t>
  </si>
  <si>
    <t>#089</t>
  </si>
  <si>
    <t>TEST-dongthoi</t>
  </si>
  <si>
    <t>Dòng 3</t>
  </si>
  <si>
    <t>TESTC03</t>
  </si>
  <si>
    <t>TESTC02</t>
  </si>
  <si>
    <t>TESTC04</t>
  </si>
  <si>
    <t>TESTC01</t>
  </si>
  <si>
    <t>#026</t>
  </si>
  <si>
    <t>TESTL1</t>
  </si>
  <si>
    <t>#088</t>
  </si>
  <si>
    <t>TEST-v73</t>
  </si>
  <si>
    <t>TESTL4</t>
  </si>
  <si>
    <t>TESTL9</t>
  </si>
  <si>
    <t>Dòng 4</t>
  </si>
  <si>
    <t>TESTL5</t>
  </si>
  <si>
    <t>TESTL6</t>
  </si>
  <si>
    <t>TESTL8</t>
  </si>
  <si>
    <t>TESTL0</t>
  </si>
  <si>
    <t>TESTL7</t>
  </si>
  <si>
    <t>TESTL3</t>
  </si>
  <si>
    <t>TESTL2</t>
  </si>
  <si>
    <t>LOOKUP_NOT_FOUND</t>
  </si>
  <si>
    <t>Tra cứu không khớp</t>
  </si>
  <si>
    <t>REGISTER_REPEAT</t>
  </si>
  <si>
    <t>TEST-v731</t>
  </si>
  <si>
    <t>Gửi lại, đơn đã có ở dòng 4, không ghi thêm</t>
  </si>
  <si>
    <t>TESTM19</t>
  </si>
  <si>
    <t>#087</t>
  </si>
  <si>
    <t>Dòng 5</t>
  </si>
  <si>
    <t>TESTM17</t>
  </si>
  <si>
    <t>TESTM12</t>
  </si>
  <si>
    <t>#027</t>
  </si>
  <si>
    <t>TESTM14</t>
  </si>
  <si>
    <t>TESTM9</t>
  </si>
  <si>
    <t>TESTM10</t>
  </si>
  <si>
    <t>TESTM8</t>
  </si>
  <si>
    <t>TESTM3</t>
  </si>
  <si>
    <t>TESTM5</t>
  </si>
  <si>
    <t>TESTM15</t>
  </si>
  <si>
    <t>TESTM16</t>
  </si>
  <si>
    <t>TESTM11</t>
  </si>
  <si>
    <t>TESTM7</t>
  </si>
  <si>
    <t>TESTM13</t>
  </si>
  <si>
    <t>TESTM6</t>
  </si>
  <si>
    <t>TESTM4</t>
  </si>
  <si>
    <t>TESTM2</t>
  </si>
  <si>
    <t>TESTM18</t>
  </si>
  <si>
    <t>TESTT1</t>
  </si>
  <si>
    <t>TEST-v74</t>
  </si>
  <si>
    <t>Dòng 6</t>
  </si>
  <si>
    <t>#028</t>
  </si>
  <si>
    <t>#029</t>
  </si>
  <si>
    <t>43LB6500PSB.AWZSLHX</t>
  </si>
  <si>
    <t>#030</t>
  </si>
  <si>
    <t>65UA8055PSA.ATV</t>
  </si>
  <si>
    <t>#031</t>
  </si>
  <si>
    <t>75QNED86ASA.ATV</t>
  </si>
  <si>
    <t>#032</t>
  </si>
  <si>
    <t>#033</t>
  </si>
  <si>
    <t>OLED48B5PSA.ATV</t>
  </si>
  <si>
    <t>Họ Tên</t>
  </si>
  <si>
    <t>Email</t>
  </si>
  <si>
    <t>Loại Email</t>
  </si>
  <si>
    <t>Thời Gian Gửi</t>
  </si>
  <si>
    <t>#034</t>
  </si>
  <si>
    <t>#035</t>
  </si>
  <si>
    <t>#036</t>
  </si>
  <si>
    <t>#037</t>
  </si>
  <si>
    <t>#038</t>
  </si>
  <si>
    <t>OLED83C5PSA.AWZQLHX</t>
  </si>
  <si>
    <t>#039</t>
  </si>
  <si>
    <t>#040</t>
  </si>
  <si>
    <t>#041</t>
  </si>
  <si>
    <t>#042</t>
  </si>
  <si>
    <t>#043</t>
  </si>
  <si>
    <t>OLED77G5PSA.ATV</t>
  </si>
  <si>
    <t>#044</t>
  </si>
  <si>
    <t>65QNED92ASA.ATV</t>
  </si>
  <si>
    <t>#045</t>
  </si>
  <si>
    <t>#046</t>
  </si>
  <si>
    <t>43QNED81ASA.ATV</t>
  </si>
  <si>
    <t>#047</t>
  </si>
  <si>
    <t>55QNED80ASA.ATV</t>
  </si>
  <si>
    <t>#048</t>
  </si>
  <si>
    <t>75NANO80ASA.ATV</t>
  </si>
  <si>
    <t>#049</t>
  </si>
  <si>
    <t>#050</t>
  </si>
  <si>
    <t>#051</t>
  </si>
  <si>
    <t>#052</t>
  </si>
  <si>
    <t>#053</t>
  </si>
  <si>
    <t>#054</t>
  </si>
  <si>
    <t>#055</t>
  </si>
  <si>
    <t>#056</t>
  </si>
  <si>
    <t>55NANO80ASA.ATV</t>
  </si>
  <si>
    <t>#057</t>
  </si>
  <si>
    <t>#058</t>
  </si>
  <si>
    <t>#059</t>
  </si>
  <si>
    <t>#060</t>
  </si>
  <si>
    <t>#061</t>
  </si>
  <si>
    <t>#062</t>
  </si>
  <si>
    <t>#063</t>
  </si>
  <si>
    <t>65UA7350PSB.ATVQ</t>
  </si>
  <si>
    <t>#064</t>
  </si>
  <si>
    <t>#065</t>
  </si>
  <si>
    <t>50UA7350PSB.ATVQ</t>
  </si>
  <si>
    <t>#066</t>
  </si>
  <si>
    <t>#067</t>
  </si>
  <si>
    <t>43UA7350PSB.ATVQ</t>
  </si>
  <si>
    <t>#068</t>
  </si>
  <si>
    <t>#069</t>
  </si>
  <si>
    <t>75QNED80ASA.ATV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</si>
  <si>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</si>
  <si>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</si>
  <si>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</si>
  <si>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</si>
  <si>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</si>
  <si>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</si>
  <si>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</si>
  <si>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</si>
  <si>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</si>
  <si>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</si>
  <si>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</si>
  <si>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</si>
  <si>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</si>
  <si>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</si>
  <si>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65QNED70ASA.ATV</t>
  </si>
  <si>
    <t>#084</t>
  </si>
  <si>
    <t>#085</t>
  </si>
  <si>
    <t>#086</t>
  </si>
  <si>
    <t>43QNED70ASA.ATV</t>
  </si>
  <si>
    <t>65UA8450PSA.ATV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</si>
</sst>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0.0%"/>
    <numFmt numFmtId="166" formatCode="dd/mm/yyyy hh:mm"/>
  </numFmts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color rgb="FF706E6A"/>
      <name val="Arial"/>
      <scheme val="minor"/>
    </font>
    <font>
      <b/>
      <color rgb="FFFFFFFF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i/>
      <sz val="9.0"/>
      <color theme="1"/>
      <name val="Arial"/>
      <scheme val="minor"/>
    </font>
    <font>
      <b/>
      <color theme="1"/>
      <name val="Arial"/>
      <scheme val="minor"/>
    </font>
    <font>
      <color rgb="FF706E6A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52525"/>
        <bgColor rgb="FF252525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Font="1"/>
    <xf borderId="0" fillId="0" fontId="4" numFmtId="0" xfId="0" applyFont="1"/>
    <xf borderId="0" fillId="0" fontId="5" numFmtId="165" xfId="0" applyFont="1" applyNumberFormat="1"/>
    <xf borderId="0" fillId="0" fontId="6" numFmtId="0" xfId="0" applyAlignment="1" applyFont="1">
      <alignment readingOrder="0" shrinkToFit="0" wrapText="0"/>
    </xf>
    <xf borderId="0" fillId="2" fontId="3" numFmtId="0" xfId="0" applyAlignment="1" applyFill="1" applyFont="1">
      <alignment readingOrder="0" shrinkToFit="0" wrapText="1"/>
    </xf>
    <xf borderId="0" fillId="0" fontId="5" numFmtId="166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5" xfId="0" applyFont="1" applyNumberFormat="1"/>
    <xf borderId="0" fillId="0" fontId="5" numFmtId="164" xfId="0" applyFont="1" applyNumberFormat="1"/>
    <xf borderId="0" fillId="0" fontId="5" numFmtId="166" xfId="0" applyFont="1" applyNumberFormat="1"/>
    <xf borderId="0" fillId="0" fontId="8" numFmtId="0" xfId="0" applyFont="1"/>
    <xf borderId="0" fillId="0" fontId="8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5" numFmtId="0" xfId="0" applyFill="1" applyFont="1"/>
    <xf borderId="0" fillId="3" fontId="5" numFmtId="0" xfId="0" applyAlignment="1" applyFill="1" applyFont="1">
      <alignment readingOrder="0"/>
    </xf>
    <xf quotePrefix="1" borderId="0" fillId="3" fontId="5" numFmtId="0" xfId="0" applyAlignment="1" applyFill="1" applyFont="1">
      <alignment readingOrder="0"/>
    </xf>
  </cellXfs>
  <cellStyles count="1">
    <cellStyle xfId="0" name="Normal" builtinId="0"/>
  </cellStyles>
  <dxfs count="5">
    <dxf>
      <font>
        <b/>
        <color rgb="FFA40034"/>
      </font>
      <fill>
        <patternFill patternType="none"/>
      </fill>
      <border/>
    </dxf>
    <dxf>
      <font>
        <b/>
      </font>
      <fill>
        <patternFill patternType="solid">
          <fgColor rgb="FFFDF3CC"/>
          <bgColor rgb="FFFDF3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287C00"/>
      </font>
      <fill>
        <patternFill patternType="none"/>
      </fill>
      <border/>
    </dxf>
    <dxf>
      <font/>
      <fill>
        <patternFill patternType="solid">
          <fgColor rgb="FFF6F3EB"/>
          <bgColor rgb="FFF6F3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3.88"/>
    <col customWidth="1" min="3" max="3" width="37.63"/>
    <col customWidth="1" min="4" max="4" width="13.88"/>
    <col customWidth="1" min="5" max="5" width="17.63"/>
  </cols>
  <sheetData>
    <row r="1">
      <c r="A1" s="1" t="s">
        <v>1</v>
      </c>
    </row>
    <row r="2">
      <c r="A2" s="2" t="s">
        <v>4</v>
      </c>
    </row>
    <row r="4">
      <c r="A4" s="4" t="s">
        <v>5</v>
      </c>
    </row>
    <row r="5">
      <c r="A5" s="3" t="s">
        <v>13</v>
      </c>
      <c r="B5" s="3" t="s">
        <v>27</v>
      </c>
      <c r="C5" s="3" t="s">
        <v>28</v>
      </c>
      <c r="D5" s="3" t="s">
        <v>30</v>
      </c>
      <c r="E5" s="3" t="s">
        <v>32</v>
      </c>
    </row>
    <row r="6">
      <c r="A6" s="5" t="s">
        <v>35</v>
      </c>
      <c r="B6" s="9">
        <f>COUNTIF(Slots!$A$2:$A$91,$A6)</f>
        <v>44</v>
      </c>
      <c r="C6" s="9">
        <f>COUNTIFS(Slots!$A$2:$A$91,$A6,Slots!$E$2:$E$91,"&lt;&gt;Còn trống")</f>
        <v>0</v>
      </c>
      <c r="D6" s="9">
        <f t="shared" ref="D6:D8" si="1">B6-C6</f>
        <v>44</v>
      </c>
      <c r="E6" s="11">
        <f t="shared" ref="E6:E9" si="2">IF(B6=0,0,C6/B6)</f>
        <v>0</v>
      </c>
    </row>
    <row r="7">
      <c r="A7" s="5" t="s">
        <v>44</v>
      </c>
      <c r="B7" s="9">
        <f>COUNTIF(Slots!$A$2:$A$91,$A7)</f>
        <v>1</v>
      </c>
      <c r="C7" s="9">
        <f>COUNTIFS(Slots!$A$2:$A$91,$A7,Slots!$E$2:$E$91,"&lt;&gt;Còn trống")</f>
        <v>0</v>
      </c>
      <c r="D7" s="9">
        <f t="shared" si="1"/>
        <v>1</v>
      </c>
      <c r="E7" s="11">
        <f t="shared" si="2"/>
        <v>0</v>
      </c>
    </row>
    <row r="8">
      <c r="A8" s="5" t="s">
        <v>23</v>
      </c>
      <c r="B8" s="9">
        <f>COUNTIF(Slots!$A$2:$A$91,$A8)</f>
        <v>45</v>
      </c>
      <c r="C8" s="9">
        <f>COUNTIFS(Slots!$A$2:$A$91,$A8,Slots!$E$2:$E$91,"&lt;&gt;Còn trống")</f>
        <v>0</v>
      </c>
      <c r="D8" s="9">
        <f t="shared" si="1"/>
        <v>45</v>
      </c>
      <c r="E8" s="11">
        <f t="shared" si="2"/>
        <v>0</v>
      </c>
    </row>
    <row r="9">
      <c r="A9" s="16" t="s">
        <v>63</v>
      </c>
      <c r="B9" s="17">
        <f t="shared" ref="B9:D9" si="3">SUM(B6:B8)</f>
        <v>90</v>
      </c>
      <c r="C9" s="17">
        <f t="shared" si="3"/>
        <v>0</v>
      </c>
      <c r="D9" s="17">
        <f t="shared" si="3"/>
        <v>90</v>
      </c>
      <c r="E9" s="18">
        <f t="shared" si="2"/>
        <v>0</v>
      </c>
    </row>
    <row r="11">
      <c r="A11" s="4" t="s">
        <v>64</v>
      </c>
    </row>
    <row r="12">
      <c r="A12" s="3" t="s">
        <v>46</v>
      </c>
      <c r="B12" s="3" t="s">
        <v>66</v>
      </c>
    </row>
    <row r="13">
      <c r="A13" s="5" t="s">
        <v>67</v>
      </c>
      <c r="B13" s="9">
        <f>COUNTIF(Registrations!$L$2:$L1000,$A13)</f>
        <v>0</v>
      </c>
    </row>
    <row r="14">
      <c r="A14" s="5" t="s">
        <v>70</v>
      </c>
      <c r="B14" s="9">
        <f>COUNTIF(Registrations!$L$2:$L1000,$A14)</f>
        <v>0</v>
      </c>
    </row>
    <row r="15">
      <c r="A15" s="5" t="s">
        <v>71</v>
      </c>
      <c r="B15" s="9">
        <f>COUNTIF(Registrations!$L$2:$L1000,$A15)</f>
        <v>0</v>
      </c>
    </row>
    <row r="16">
      <c r="A16" s="5" t="s">
        <v>72</v>
      </c>
      <c r="B16" s="9">
        <f>COUNTIF(Registrations!$L$2:$L1000,$A16)</f>
        <v>0</v>
      </c>
    </row>
    <row r="17">
      <c r="A17" s="5" t="s">
        <v>73</v>
      </c>
      <c r="B17" s="9">
        <f>COUNTIF(Registrations!$L$2:$L1000,$A17)</f>
        <v>0</v>
      </c>
    </row>
    <row r="18">
      <c r="A18" s="5" t="s">
        <v>74</v>
      </c>
      <c r="B18" s="9">
        <f>COUNTIFS(Registrations!$D$2:$D1000,"&lt;&gt;",Registrations!$L$2:$L1000,"")</f>
        <v>0</v>
      </c>
    </row>
    <row r="19">
      <c r="A19" s="16" t="s">
        <v>75</v>
      </c>
      <c r="B19" s="17">
        <f>SUM(B13:B18)</f>
        <v>0</v>
      </c>
    </row>
    <row r="21">
      <c r="A21" s="4" t="s">
        <v>78</v>
      </c>
    </row>
    <row r="22">
      <c r="A22" s="3" t="s">
        <v>79</v>
      </c>
      <c r="B22" s="3" t="s">
        <v>80</v>
      </c>
      <c r="C22" s="3" t="s">
        <v>81</v>
      </c>
    </row>
    <row r="23">
      <c r="A23" s="5" t="s">
        <v>82</v>
      </c>
      <c r="B23" s="9">
        <f>COUNTA(Registrations!$D$2:$D1000)</f>
        <v>0</v>
      </c>
      <c r="C23" s="21"/>
    </row>
    <row r="24">
      <c r="A24" s="5" t="s">
        <v>83</v>
      </c>
      <c r="B24" s="9">
        <f>IFERROR(__xludf.DUMMYFUNCTION("COUNTUNIQUE(Registrations!$D$2:$D1000)"),0.0)</f>
        <v>0</v>
      </c>
      <c r="C24" s="21"/>
    </row>
    <row r="25">
      <c r="A25" s="5" t="s">
        <v>84</v>
      </c>
      <c r="B25" s="9">
        <f>B23-B24</f>
        <v>0</v>
      </c>
      <c r="C25" s="22" t="s">
        <v>85</v>
      </c>
    </row>
    <row r="26">
      <c r="A26" s="5" t="s">
        <v>86</v>
      </c>
      <c r="B26" s="9">
        <f>COUNTIF(Slots!$E$2:$E$91,"Trùng đăng ký")</f>
        <v>0</v>
      </c>
      <c r="C26" s="22" t="s">
        <v>89</v>
      </c>
    </row>
    <row r="27">
      <c r="A27" s="5" t="s">
        <v>90</v>
      </c>
      <c r="B27" s="9">
        <f>COUNTIF(Slots!$I$2:$I$91,"Sai kho")</f>
        <v>0</v>
      </c>
      <c r="C27" s="22" t="s">
        <v>91</v>
      </c>
    </row>
    <row r="28">
      <c r="A28" s="5" t="s">
        <v>92</v>
      </c>
      <c r="B28" s="9">
        <f>SUMPRODUCT((Registrations!$H$2:$H1000&lt;&gt;"")*(COUNTIF(Slots!$C$2:$C$91,Registrations!$H$2:$H1000)=0))</f>
        <v>0</v>
      </c>
      <c r="C28" s="22" t="s">
        <v>95</v>
      </c>
    </row>
    <row r="29">
      <c r="A29" s="5" t="s">
        <v>96</v>
      </c>
      <c r="B29" s="9">
        <f>COUNTIFS(Registrations!$D$2:$D1000,"&lt;&gt;",Registrations!$K$2:$K1000,"&lt;&gt;Đồng ý")</f>
        <v>0</v>
      </c>
      <c r="C29" s="22" t="s">
        <v>97</v>
      </c>
    </row>
    <row r="30">
      <c r="A30" s="5" t="s">
        <v>98</v>
      </c>
      <c r="B30" s="9">
        <f>SUMPRODUCT((Registrations!$N$2:$N1000&lt;&gt;"")*(Registrations!$N$2:$N1000&lt;&gt;Registrations!$D$2:$D1000))</f>
        <v>0</v>
      </c>
      <c r="C30" s="22" t="s">
        <v>100</v>
      </c>
    </row>
  </sheetData>
  <conditionalFormatting sqref="B25:B30">
    <cfRule type="expression" dxfId="0" priority="1" stopIfTrue="1">
      <formula>B25&gt;0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0"/>
    <col customWidth="1" min="2" max="2" width="23.88"/>
    <col customWidth="1" min="3" max="3" width="17.63"/>
    <col customWidth="1" min="5" max="6" width="21.38"/>
    <col customWidth="1" min="7" max="8" width="7.63"/>
    <col customWidth="1" min="9" max="9" width="21.38"/>
    <col customWidth="1" min="10" max="10" width="18.88"/>
    <col customWidth="1" min="14" max="14" width="21.38"/>
    <col customWidth="1" min="17" max="17" width="30.13"/>
  </cols>
  <sheetData>
    <row r="1">
      <c r="A1" s="1" t="s">
        <v>0</v>
      </c>
    </row>
    <row r="2">
      <c r="A2" s="10" t="str">
        <f>"Chờ đối soát: "&amp;COUNTIF(Registrations!$L$2:$L1000,"Đã khai nộp - chờ đối soát")&amp;"   |   Chờ nộp tiền: "&amp;COUNTIF(Registrations!$L$2:$L1000,"Chờ nộp tiền")&amp;"   |   Đã xác nhận: "&amp;COUNTIF(Registrations!$L$2:$L1000,"Đã xác nhận")&amp;"   |   Nộp hộ: "&amp;SUMPRODUCT((Registrations!$M$2:$M1000&lt;&gt;"")*(UPPER(Registrations!$N$2:$N1000)&lt;&gt;UPPER(Registrations!$D$2:$D1000)))</f>
        <v>Chờ đối soát: 0   |   Chờ nộp tiền: 0   |   Đã xác nhận: 0   |   Nộp hộ: 0</v>
      </c>
    </row>
    <row r="3">
      <c r="A3" s="12" t="s">
        <v>43</v>
      </c>
    </row>
    <row r="5">
      <c r="A5" s="13" t="s">
        <v>45</v>
      </c>
      <c r="B5" s="13" t="s">
        <v>46</v>
      </c>
      <c r="C5" s="13" t="s">
        <v>47</v>
      </c>
      <c r="D5" s="13" t="s">
        <v>48</v>
      </c>
      <c r="E5" s="13" t="s">
        <v>49</v>
      </c>
      <c r="F5" s="13" t="s">
        <v>50</v>
      </c>
      <c r="G5" s="13" t="s">
        <v>13</v>
      </c>
      <c r="H5" s="13" t="s">
        <v>51</v>
      </c>
      <c r="I5" s="13" t="s">
        <v>12</v>
      </c>
      <c r="J5" s="13" t="s">
        <v>52</v>
      </c>
      <c r="K5" s="13" t="s">
        <v>53</v>
      </c>
      <c r="L5" s="13" t="s">
        <v>54</v>
      </c>
      <c r="M5" s="13" t="s">
        <v>55</v>
      </c>
      <c r="N5" s="13" t="s">
        <v>56</v>
      </c>
      <c r="O5" s="13" t="s">
        <v>57</v>
      </c>
      <c r="P5" s="13" t="s">
        <v>58</v>
      </c>
      <c r="Q5" s="13" t="s">
        <v>59</v>
      </c>
    </row>
    <row r="6">
      <c r="A6" s="9" t="str">
        <f>IFERROR(__xludf.DUMMYFUNCTION("IFERROR(ARRAYFORMULA(SORT(FILTER({HYPERLINK(""#gid=1&amp;range=L""&amp;ROW(Registrations!$A$2:$A1000),""Sửa dòng ""&amp;ROW(Registrations!$A$2:$A1000)),Registrations!$L$2:$L1000,Registrations!$A$2:$A1000,Registrations!$D$2:$D1000,Registrations!$E$2:$E1000,Registratio"&amp;"ns!$C$2:$C1000,Registrations!$F$2:$F1000,Registrations!$H$2:$H1000,Registrations!$G$2:$G1000,Registrations!$M$2:$M1000,Registrations!$N$2:$N1000,IF(Registrations!$M$2:$M1000="""","""",IF(UPPER(Registrations!$N$2:$N1000)=UPPER(Registrations!$D$2:$D1000),"""&amp;""",""Nộp hộ"")),Registrations!$O$2:$O1000,Registrations!$P$2:$P1000,Registrations!$Q$2:$Q1000,IF(Registrations!$R$2:$R1000="""","""",HYPERLINK(Registrations!$R$2:$R1000,""Xem biên lai"")),Registrations!$U$2:$U1000},Registrations!$D$2:$D1000&lt;&gt;""""),FILTER("&amp;"IFERROR(MATCH(Registrations!$L$2:$L1000,{""Đã khai nộp - chờ đối soát"",""Chờ nộp tiền"",""Đã xác nhận"",""Từ chối"",""Hủy""},0),9),Registrations!$D$2:$D1000&lt;&gt;""""),TRUE,FILTER(Registrations!$A$2:$A1000,Registrations!$D$2:$D1000&lt;&gt;""""),TRUE)),""Chưa có đơ"&amp;"n"")"),"Chưa có đơn")</f>
        <v>Chưa có đơn</v>
      </c>
      <c r="C6" s="19"/>
      <c r="O6" s="20"/>
    </row>
    <row r="7">
      <c r="C7" s="19"/>
      <c r="O7" s="20"/>
    </row>
    <row r="8">
      <c r="C8" s="19"/>
      <c r="O8" s="20"/>
    </row>
    <row r="9">
      <c r="C9" s="19"/>
      <c r="O9" s="20"/>
    </row>
    <row r="10">
      <c r="C10" s="19"/>
      <c r="O10" s="20"/>
    </row>
    <row r="11">
      <c r="C11" s="19"/>
      <c r="O11" s="20"/>
    </row>
    <row r="12">
      <c r="C12" s="19"/>
      <c r="O12" s="20"/>
    </row>
    <row r="13">
      <c r="C13" s="19"/>
      <c r="O13" s="20"/>
    </row>
    <row r="14">
      <c r="C14" s="19"/>
      <c r="O14" s="20"/>
    </row>
    <row r="15">
      <c r="C15" s="19"/>
      <c r="O15" s="20"/>
    </row>
    <row r="16">
      <c r="C16" s="19"/>
      <c r="O16" s="20"/>
    </row>
    <row r="17">
      <c r="C17" s="19"/>
      <c r="O17" s="20"/>
    </row>
    <row r="18">
      <c r="C18" s="19"/>
      <c r="O18" s="20"/>
    </row>
    <row r="19">
      <c r="C19" s="19"/>
      <c r="O19" s="20"/>
    </row>
    <row r="20">
      <c r="C20" s="19"/>
      <c r="O20" s="20"/>
    </row>
    <row r="21">
      <c r="C21" s="19"/>
      <c r="O21" s="20"/>
    </row>
    <row r="22">
      <c r="C22" s="19"/>
      <c r="O22" s="20"/>
    </row>
    <row r="23">
      <c r="C23" s="19"/>
      <c r="O23" s="20"/>
    </row>
    <row r="24">
      <c r="C24" s="19"/>
      <c r="O24" s="20"/>
    </row>
    <row r="25">
      <c r="C25" s="19"/>
      <c r="O25" s="20"/>
    </row>
    <row r="26">
      <c r="C26" s="19"/>
      <c r="O26" s="20"/>
    </row>
    <row r="27">
      <c r="C27" s="19"/>
      <c r="O27" s="20"/>
    </row>
    <row r="28">
      <c r="C28" s="19"/>
      <c r="O28" s="20"/>
    </row>
    <row r="29">
      <c r="C29" s="19"/>
      <c r="O29" s="20"/>
    </row>
    <row r="30">
      <c r="C30" s="19"/>
      <c r="O30" s="20"/>
    </row>
    <row r="31">
      <c r="C31" s="19"/>
      <c r="O31" s="20"/>
    </row>
    <row r="32">
      <c r="C32" s="19"/>
      <c r="O32" s="20"/>
    </row>
    <row r="33">
      <c r="C33" s="19"/>
      <c r="O33" s="20"/>
    </row>
    <row r="34">
      <c r="C34" s="19"/>
      <c r="O34" s="20"/>
    </row>
    <row r="35">
      <c r="C35" s="19"/>
      <c r="O35" s="20"/>
    </row>
    <row r="36">
      <c r="C36" s="19"/>
      <c r="O36" s="20"/>
    </row>
    <row r="37">
      <c r="C37" s="19"/>
      <c r="O37" s="20"/>
    </row>
    <row r="38">
      <c r="C38" s="19"/>
      <c r="O38" s="20"/>
    </row>
    <row r="39">
      <c r="C39" s="19"/>
      <c r="O39" s="20"/>
    </row>
    <row r="40">
      <c r="C40" s="19"/>
      <c r="O40" s="20"/>
    </row>
    <row r="41">
      <c r="C41" s="19"/>
      <c r="O41" s="20"/>
    </row>
    <row r="42">
      <c r="C42" s="19"/>
      <c r="O42" s="20"/>
    </row>
    <row r="43">
      <c r="C43" s="19"/>
      <c r="O43" s="20"/>
    </row>
    <row r="44">
      <c r="C44" s="19"/>
      <c r="O44" s="20"/>
    </row>
    <row r="45">
      <c r="C45" s="19"/>
      <c r="O45" s="20"/>
    </row>
    <row r="46">
      <c r="C46" s="19"/>
      <c r="O46" s="20"/>
    </row>
    <row r="47">
      <c r="C47" s="19"/>
      <c r="O47" s="20"/>
    </row>
    <row r="48">
      <c r="C48" s="19"/>
      <c r="O48" s="20"/>
    </row>
    <row r="49">
      <c r="C49" s="19"/>
      <c r="O49" s="20"/>
    </row>
    <row r="50">
      <c r="C50" s="19"/>
      <c r="O50" s="20"/>
    </row>
    <row r="51">
      <c r="C51" s="19"/>
      <c r="O51" s="20"/>
    </row>
    <row r="52">
      <c r="C52" s="19"/>
      <c r="O52" s="20"/>
    </row>
    <row r="53">
      <c r="C53" s="19"/>
      <c r="O53" s="20"/>
    </row>
    <row r="54">
      <c r="C54" s="19"/>
      <c r="O54" s="20"/>
    </row>
    <row r="55">
      <c r="C55" s="19"/>
      <c r="O55" s="20"/>
    </row>
    <row r="56">
      <c r="C56" s="19"/>
      <c r="O56" s="20"/>
    </row>
    <row r="57">
      <c r="C57" s="19"/>
      <c r="O57" s="20"/>
    </row>
    <row r="58">
      <c r="C58" s="19"/>
      <c r="O58" s="20"/>
    </row>
    <row r="59">
      <c r="C59" s="19"/>
      <c r="O59" s="20"/>
    </row>
    <row r="60">
      <c r="C60" s="19"/>
      <c r="O60" s="20"/>
    </row>
    <row r="61">
      <c r="C61" s="19"/>
      <c r="O61" s="20"/>
    </row>
    <row r="62">
      <c r="C62" s="19"/>
      <c r="O62" s="20"/>
    </row>
    <row r="63">
      <c r="C63" s="19"/>
      <c r="O63" s="20"/>
    </row>
    <row r="64">
      <c r="C64" s="19"/>
      <c r="O64" s="20"/>
    </row>
    <row r="65">
      <c r="C65" s="19"/>
      <c r="O65" s="20"/>
    </row>
    <row r="66">
      <c r="C66" s="19"/>
      <c r="O66" s="20"/>
    </row>
    <row r="67">
      <c r="C67" s="19"/>
      <c r="O67" s="20"/>
    </row>
    <row r="68">
      <c r="C68" s="19"/>
      <c r="O68" s="20"/>
    </row>
    <row r="69">
      <c r="C69" s="19"/>
      <c r="O69" s="20"/>
    </row>
    <row r="70">
      <c r="C70" s="19"/>
      <c r="O70" s="20"/>
    </row>
    <row r="71">
      <c r="C71" s="19"/>
      <c r="O71" s="20"/>
    </row>
    <row r="72">
      <c r="C72" s="19"/>
      <c r="O72" s="20"/>
    </row>
    <row r="73">
      <c r="C73" s="19"/>
      <c r="O73" s="20"/>
    </row>
    <row r="74">
      <c r="C74" s="19"/>
      <c r="O74" s="20"/>
    </row>
    <row r="75">
      <c r="C75" s="19"/>
      <c r="O75" s="20"/>
    </row>
    <row r="76">
      <c r="C76" s="19"/>
      <c r="O76" s="20"/>
    </row>
    <row r="77">
      <c r="C77" s="19"/>
      <c r="O77" s="20"/>
    </row>
    <row r="78">
      <c r="C78" s="19"/>
      <c r="O78" s="20"/>
    </row>
    <row r="79">
      <c r="C79" s="19"/>
      <c r="O79" s="20"/>
    </row>
    <row r="80">
      <c r="C80" s="19"/>
      <c r="O80" s="20"/>
    </row>
    <row r="81">
      <c r="C81" s="19"/>
      <c r="O81" s="20"/>
    </row>
    <row r="82">
      <c r="C82" s="19"/>
      <c r="O82" s="20"/>
    </row>
    <row r="83">
      <c r="C83" s="19"/>
      <c r="O83" s="20"/>
    </row>
    <row r="84">
      <c r="C84" s="19"/>
      <c r="O84" s="20"/>
    </row>
    <row r="85">
      <c r="C85" s="19"/>
      <c r="O85" s="20"/>
    </row>
    <row r="86">
      <c r="C86" s="19"/>
      <c r="O86" s="20"/>
    </row>
    <row r="87">
      <c r="C87" s="19"/>
      <c r="O87" s="20"/>
    </row>
    <row r="88">
      <c r="C88" s="19"/>
      <c r="O88" s="20"/>
    </row>
    <row r="89">
      <c r="C89" s="19"/>
      <c r="O89" s="20"/>
    </row>
    <row r="90">
      <c r="C90" s="19"/>
      <c r="O90" s="20"/>
    </row>
    <row r="91">
      <c r="C91" s="19"/>
      <c r="O91" s="20"/>
    </row>
    <row r="92">
      <c r="C92" s="19"/>
      <c r="O92" s="20"/>
    </row>
    <row r="93">
      <c r="C93" s="19"/>
      <c r="O93" s="20"/>
    </row>
    <row r="94">
      <c r="C94" s="19"/>
      <c r="O94" s="20"/>
    </row>
    <row r="95">
      <c r="C95" s="19"/>
      <c r="O95" s="20"/>
    </row>
    <row r="96">
      <c r="C96" s="19"/>
      <c r="O96" s="20"/>
    </row>
    <row r="97">
      <c r="C97" s="19"/>
      <c r="O97" s="20"/>
    </row>
    <row r="98">
      <c r="C98" s="19"/>
      <c r="O98" s="20"/>
    </row>
    <row r="99">
      <c r="C99" s="19"/>
      <c r="O99" s="20"/>
    </row>
    <row r="100">
      <c r="C100" s="19"/>
      <c r="O100" s="20"/>
    </row>
    <row r="101">
      <c r="C101" s="19"/>
      <c r="O101" s="20"/>
    </row>
    <row r="102">
      <c r="C102" s="19"/>
      <c r="O102" s="20"/>
    </row>
    <row r="103">
      <c r="C103" s="19"/>
      <c r="O103" s="20"/>
    </row>
    <row r="104">
      <c r="C104" s="19"/>
      <c r="O104" s="20"/>
    </row>
    <row r="105">
      <c r="C105" s="19"/>
      <c r="O105" s="20"/>
    </row>
    <row r="106">
      <c r="C106" s="19"/>
      <c r="O106" s="20"/>
    </row>
    <row r="107">
      <c r="C107" s="19"/>
      <c r="O107" s="20"/>
    </row>
    <row r="108">
      <c r="C108" s="19"/>
      <c r="O108" s="20"/>
    </row>
    <row r="109">
      <c r="C109" s="19"/>
      <c r="O109" s="20"/>
    </row>
    <row r="110">
      <c r="C110" s="19"/>
      <c r="O110" s="20"/>
    </row>
    <row r="111">
      <c r="C111" s="19"/>
      <c r="O111" s="20"/>
    </row>
    <row r="112">
      <c r="C112" s="19"/>
      <c r="O112" s="20"/>
    </row>
    <row r="113">
      <c r="C113" s="19"/>
      <c r="O113" s="20"/>
    </row>
    <row r="114">
      <c r="C114" s="19"/>
      <c r="O114" s="20"/>
    </row>
    <row r="115">
      <c r="C115" s="19"/>
      <c r="O115" s="20"/>
    </row>
    <row r="116">
      <c r="C116" s="19"/>
      <c r="O116" s="20"/>
    </row>
    <row r="117">
      <c r="C117" s="19"/>
      <c r="O117" s="20"/>
    </row>
    <row r="118">
      <c r="C118" s="19"/>
      <c r="O118" s="20"/>
    </row>
    <row r="119">
      <c r="C119" s="19"/>
      <c r="O119" s="20"/>
    </row>
    <row r="120">
      <c r="C120" s="19"/>
      <c r="O120" s="20"/>
    </row>
    <row r="121">
      <c r="C121" s="19"/>
      <c r="O121" s="20"/>
    </row>
    <row r="122">
      <c r="C122" s="19"/>
      <c r="O122" s="20"/>
    </row>
    <row r="123">
      <c r="C123" s="19"/>
      <c r="O123" s="20"/>
    </row>
    <row r="124">
      <c r="C124" s="19"/>
      <c r="O124" s="20"/>
    </row>
    <row r="125">
      <c r="C125" s="19"/>
      <c r="O125" s="20"/>
    </row>
    <row r="126">
      <c r="C126" s="19"/>
      <c r="O126" s="20"/>
    </row>
    <row r="127">
      <c r="C127" s="19"/>
      <c r="O127" s="20"/>
    </row>
    <row r="128">
      <c r="C128" s="19"/>
      <c r="O128" s="20"/>
    </row>
    <row r="129">
      <c r="C129" s="19"/>
      <c r="O129" s="20"/>
    </row>
    <row r="130">
      <c r="C130" s="19"/>
      <c r="O130" s="20"/>
    </row>
    <row r="131">
      <c r="C131" s="19"/>
      <c r="O131" s="20"/>
    </row>
    <row r="132">
      <c r="C132" s="19"/>
      <c r="O132" s="20"/>
    </row>
    <row r="133">
      <c r="C133" s="19"/>
      <c r="O133" s="20"/>
    </row>
    <row r="134">
      <c r="C134" s="19"/>
      <c r="O134" s="20"/>
    </row>
    <row r="135">
      <c r="C135" s="19"/>
      <c r="O135" s="20"/>
    </row>
    <row r="136">
      <c r="C136" s="19"/>
      <c r="O136" s="20"/>
    </row>
    <row r="137">
      <c r="C137" s="19"/>
      <c r="O137" s="20"/>
    </row>
    <row r="138">
      <c r="C138" s="19"/>
      <c r="O138" s="20"/>
    </row>
    <row r="139">
      <c r="C139" s="19"/>
      <c r="O139" s="20"/>
    </row>
    <row r="140">
      <c r="C140" s="19"/>
      <c r="O140" s="20"/>
    </row>
    <row r="141">
      <c r="C141" s="19"/>
      <c r="O141" s="20"/>
    </row>
    <row r="142">
      <c r="C142" s="19"/>
      <c r="O142" s="20"/>
    </row>
    <row r="143">
      <c r="C143" s="19"/>
      <c r="O143" s="20"/>
    </row>
    <row r="144">
      <c r="C144" s="19"/>
      <c r="O144" s="20"/>
    </row>
    <row r="145">
      <c r="C145" s="19"/>
      <c r="O145" s="20"/>
    </row>
    <row r="146">
      <c r="C146" s="19"/>
      <c r="O146" s="20"/>
    </row>
    <row r="147">
      <c r="C147" s="19"/>
      <c r="O147" s="20"/>
    </row>
    <row r="148">
      <c r="C148" s="19"/>
      <c r="O148" s="20"/>
    </row>
    <row r="149">
      <c r="C149" s="19"/>
      <c r="O149" s="20"/>
    </row>
    <row r="150">
      <c r="C150" s="19"/>
      <c r="O150" s="20"/>
    </row>
    <row r="151">
      <c r="C151" s="19"/>
      <c r="O151" s="20"/>
    </row>
    <row r="152">
      <c r="C152" s="19"/>
      <c r="O152" s="20"/>
    </row>
    <row r="153">
      <c r="C153" s="19"/>
      <c r="O153" s="20"/>
    </row>
    <row r="154">
      <c r="C154" s="19"/>
      <c r="O154" s="20"/>
    </row>
    <row r="155">
      <c r="C155" s="19"/>
      <c r="O155" s="20"/>
    </row>
    <row r="156">
      <c r="C156" s="19"/>
      <c r="O156" s="20"/>
    </row>
    <row r="157">
      <c r="C157" s="19"/>
      <c r="O157" s="20"/>
    </row>
    <row r="158">
      <c r="C158" s="19"/>
      <c r="O158" s="20"/>
    </row>
    <row r="159">
      <c r="C159" s="19"/>
      <c r="O159" s="20"/>
    </row>
    <row r="160">
      <c r="C160" s="19"/>
      <c r="O160" s="20"/>
    </row>
    <row r="161">
      <c r="C161" s="19"/>
      <c r="O161" s="20"/>
    </row>
    <row r="162">
      <c r="C162" s="19"/>
      <c r="O162" s="20"/>
    </row>
    <row r="163">
      <c r="C163" s="19"/>
      <c r="O163" s="20"/>
    </row>
    <row r="164">
      <c r="C164" s="19"/>
      <c r="O164" s="20"/>
    </row>
    <row r="165">
      <c r="C165" s="19"/>
      <c r="O165" s="20"/>
    </row>
    <row r="166">
      <c r="C166" s="19"/>
      <c r="O166" s="20"/>
    </row>
    <row r="167">
      <c r="C167" s="19"/>
      <c r="O167" s="20"/>
    </row>
    <row r="168">
      <c r="C168" s="19"/>
      <c r="O168" s="20"/>
    </row>
    <row r="169">
      <c r="C169" s="19"/>
      <c r="O169" s="20"/>
    </row>
    <row r="170">
      <c r="C170" s="19"/>
      <c r="O170" s="20"/>
    </row>
    <row r="171">
      <c r="C171" s="19"/>
      <c r="O171" s="20"/>
    </row>
    <row r="172">
      <c r="C172" s="19"/>
      <c r="O172" s="20"/>
    </row>
    <row r="173">
      <c r="C173" s="19"/>
      <c r="O173" s="20"/>
    </row>
    <row r="174">
      <c r="C174" s="19"/>
      <c r="O174" s="20"/>
    </row>
    <row r="175">
      <c r="C175" s="19"/>
      <c r="O175" s="20"/>
    </row>
    <row r="176">
      <c r="C176" s="19"/>
      <c r="O176" s="20"/>
    </row>
    <row r="177">
      <c r="C177" s="19"/>
      <c r="O177" s="20"/>
    </row>
    <row r="178">
      <c r="C178" s="19"/>
      <c r="O178" s="20"/>
    </row>
    <row r="179">
      <c r="C179" s="19"/>
      <c r="O179" s="20"/>
    </row>
    <row r="180">
      <c r="C180" s="19"/>
      <c r="O180" s="20"/>
    </row>
    <row r="181">
      <c r="C181" s="19"/>
      <c r="O181" s="20"/>
    </row>
    <row r="182">
      <c r="C182" s="19"/>
      <c r="O182" s="20"/>
    </row>
    <row r="183">
      <c r="C183" s="19"/>
      <c r="O183" s="20"/>
    </row>
    <row r="184">
      <c r="C184" s="19"/>
      <c r="O184" s="20"/>
    </row>
    <row r="185">
      <c r="C185" s="19"/>
      <c r="O185" s="20"/>
    </row>
    <row r="186">
      <c r="C186" s="19"/>
      <c r="O186" s="20"/>
    </row>
    <row r="187">
      <c r="C187" s="19"/>
      <c r="O187" s="20"/>
    </row>
    <row r="188">
      <c r="C188" s="19"/>
      <c r="O188" s="20"/>
    </row>
    <row r="189">
      <c r="C189" s="19"/>
      <c r="O189" s="20"/>
    </row>
    <row r="190">
      <c r="C190" s="19"/>
      <c r="O190" s="20"/>
    </row>
    <row r="191">
      <c r="C191" s="19"/>
      <c r="O191" s="20"/>
    </row>
    <row r="192">
      <c r="C192" s="19"/>
      <c r="O192" s="20"/>
    </row>
    <row r="193">
      <c r="C193" s="19"/>
      <c r="O193" s="20"/>
    </row>
    <row r="194">
      <c r="C194" s="19"/>
      <c r="O194" s="20"/>
    </row>
    <row r="195">
      <c r="C195" s="19"/>
      <c r="O195" s="20"/>
    </row>
    <row r="196">
      <c r="C196" s="19"/>
      <c r="O196" s="20"/>
    </row>
    <row r="197">
      <c r="C197" s="19"/>
      <c r="O197" s="20"/>
    </row>
    <row r="198">
      <c r="C198" s="19"/>
      <c r="O198" s="20"/>
    </row>
    <row r="199">
      <c r="C199" s="19"/>
      <c r="O199" s="20"/>
    </row>
    <row r="200">
      <c r="C200" s="19"/>
      <c r="O200" s="20"/>
    </row>
    <row r="201">
      <c r="C201" s="19"/>
      <c r="O201" s="20"/>
    </row>
    <row r="202">
      <c r="C202" s="19"/>
      <c r="O202" s="20"/>
    </row>
    <row r="203">
      <c r="C203" s="19"/>
      <c r="O203" s="20"/>
    </row>
    <row r="204">
      <c r="C204" s="19"/>
      <c r="O204" s="20"/>
    </row>
    <row r="205">
      <c r="C205" s="19"/>
      <c r="O205" s="20"/>
    </row>
    <row r="206">
      <c r="C206" s="19"/>
      <c r="O206" s="20"/>
    </row>
    <row r="207">
      <c r="C207" s="19"/>
      <c r="O207" s="20"/>
    </row>
    <row r="208">
      <c r="C208" s="19"/>
      <c r="O208" s="20"/>
    </row>
    <row r="209">
      <c r="C209" s="19"/>
      <c r="O209" s="20"/>
    </row>
    <row r="210">
      <c r="C210" s="19"/>
      <c r="O210" s="20"/>
    </row>
    <row r="211">
      <c r="C211" s="19"/>
      <c r="O211" s="20"/>
    </row>
    <row r="212">
      <c r="C212" s="19"/>
      <c r="O212" s="20"/>
    </row>
    <row r="213">
      <c r="C213" s="19"/>
      <c r="O213" s="20"/>
    </row>
    <row r="214">
      <c r="C214" s="19"/>
      <c r="O214" s="20"/>
    </row>
    <row r="215">
      <c r="C215" s="19"/>
      <c r="O215" s="20"/>
    </row>
    <row r="216">
      <c r="C216" s="19"/>
      <c r="O216" s="20"/>
    </row>
    <row r="217">
      <c r="C217" s="19"/>
      <c r="O217" s="20"/>
    </row>
    <row r="218">
      <c r="C218" s="19"/>
      <c r="O218" s="20"/>
    </row>
    <row r="219">
      <c r="C219" s="19"/>
      <c r="O219" s="20"/>
    </row>
    <row r="220">
      <c r="C220" s="19"/>
      <c r="O220" s="20"/>
    </row>
    <row r="221">
      <c r="C221" s="19"/>
      <c r="O221" s="20"/>
    </row>
    <row r="222">
      <c r="C222" s="19"/>
      <c r="O222" s="20"/>
    </row>
    <row r="223">
      <c r="C223" s="19"/>
      <c r="O223" s="20"/>
    </row>
    <row r="224">
      <c r="C224" s="19"/>
      <c r="O224" s="20"/>
    </row>
    <row r="225">
      <c r="C225" s="19"/>
      <c r="O225" s="20"/>
    </row>
    <row r="226">
      <c r="C226" s="19"/>
      <c r="O226" s="20"/>
    </row>
    <row r="227">
      <c r="C227" s="19"/>
      <c r="O227" s="20"/>
    </row>
    <row r="228">
      <c r="C228" s="19"/>
      <c r="O228" s="20"/>
    </row>
    <row r="229">
      <c r="C229" s="19"/>
      <c r="O229" s="20"/>
    </row>
    <row r="230">
      <c r="C230" s="19"/>
      <c r="O230" s="20"/>
    </row>
    <row r="231">
      <c r="C231" s="19"/>
      <c r="O231" s="20"/>
    </row>
    <row r="232">
      <c r="C232" s="19"/>
      <c r="O232" s="20"/>
    </row>
    <row r="233">
      <c r="C233" s="19"/>
      <c r="O233" s="20"/>
    </row>
    <row r="234">
      <c r="C234" s="19"/>
      <c r="O234" s="20"/>
    </row>
    <row r="235">
      <c r="C235" s="19"/>
      <c r="O235" s="20"/>
    </row>
    <row r="236">
      <c r="C236" s="19"/>
      <c r="O236" s="20"/>
    </row>
    <row r="237">
      <c r="C237" s="19"/>
      <c r="O237" s="20"/>
    </row>
    <row r="238">
      <c r="C238" s="19"/>
      <c r="O238" s="20"/>
    </row>
    <row r="239">
      <c r="C239" s="19"/>
      <c r="O239" s="20"/>
    </row>
    <row r="240">
      <c r="C240" s="19"/>
      <c r="O240" s="20"/>
    </row>
    <row r="241">
      <c r="C241" s="19"/>
      <c r="O241" s="20"/>
    </row>
    <row r="242">
      <c r="C242" s="19"/>
      <c r="O242" s="20"/>
    </row>
    <row r="243">
      <c r="C243" s="19"/>
      <c r="O243" s="20"/>
    </row>
    <row r="244">
      <c r="C244" s="19"/>
      <c r="O244" s="20"/>
    </row>
    <row r="245">
      <c r="C245" s="19"/>
      <c r="O245" s="20"/>
    </row>
    <row r="246">
      <c r="C246" s="19"/>
      <c r="O246" s="20"/>
    </row>
    <row r="247">
      <c r="C247" s="19"/>
      <c r="O247" s="20"/>
    </row>
    <row r="248">
      <c r="C248" s="19"/>
      <c r="O248" s="20"/>
    </row>
    <row r="249">
      <c r="C249" s="19"/>
      <c r="O249" s="20"/>
    </row>
    <row r="250">
      <c r="C250" s="19"/>
      <c r="O250" s="20"/>
    </row>
    <row r="251">
      <c r="C251" s="19"/>
      <c r="O251" s="20"/>
    </row>
    <row r="252">
      <c r="C252" s="19"/>
      <c r="O252" s="20"/>
    </row>
    <row r="253">
      <c r="C253" s="19"/>
      <c r="O253" s="20"/>
    </row>
    <row r="254">
      <c r="C254" s="19"/>
      <c r="O254" s="20"/>
    </row>
    <row r="255">
      <c r="C255" s="19"/>
      <c r="O255" s="20"/>
    </row>
    <row r="256">
      <c r="C256" s="19"/>
      <c r="O256" s="20"/>
    </row>
    <row r="257">
      <c r="C257" s="19"/>
      <c r="O257" s="20"/>
    </row>
    <row r="258">
      <c r="C258" s="19"/>
      <c r="O258" s="20"/>
    </row>
    <row r="259">
      <c r="C259" s="19"/>
      <c r="O259" s="20"/>
    </row>
    <row r="260">
      <c r="C260" s="19"/>
      <c r="O260" s="20"/>
    </row>
    <row r="261">
      <c r="C261" s="19"/>
      <c r="O261" s="20"/>
    </row>
    <row r="262">
      <c r="C262" s="19"/>
      <c r="O262" s="20"/>
    </row>
    <row r="263">
      <c r="C263" s="19"/>
      <c r="O263" s="20"/>
    </row>
    <row r="264">
      <c r="C264" s="19"/>
      <c r="O264" s="20"/>
    </row>
    <row r="265">
      <c r="C265" s="19"/>
      <c r="O265" s="20"/>
    </row>
    <row r="266">
      <c r="C266" s="19"/>
      <c r="O266" s="20"/>
    </row>
    <row r="267">
      <c r="C267" s="19"/>
      <c r="O267" s="20"/>
    </row>
    <row r="268">
      <c r="C268" s="19"/>
      <c r="O268" s="20"/>
    </row>
    <row r="269">
      <c r="C269" s="19"/>
      <c r="O269" s="20"/>
    </row>
    <row r="270">
      <c r="C270" s="19"/>
      <c r="O270" s="20"/>
    </row>
    <row r="271">
      <c r="C271" s="19"/>
      <c r="O271" s="20"/>
    </row>
    <row r="272">
      <c r="C272" s="19"/>
      <c r="O272" s="20"/>
    </row>
    <row r="273">
      <c r="C273" s="19"/>
      <c r="O273" s="20"/>
    </row>
    <row r="274">
      <c r="C274" s="19"/>
      <c r="O274" s="20"/>
    </row>
    <row r="275">
      <c r="C275" s="19"/>
      <c r="O275" s="20"/>
    </row>
    <row r="276">
      <c r="C276" s="19"/>
      <c r="O276" s="20"/>
    </row>
    <row r="277">
      <c r="C277" s="19"/>
      <c r="O277" s="20"/>
    </row>
    <row r="278">
      <c r="C278" s="19"/>
      <c r="O278" s="20"/>
    </row>
    <row r="279">
      <c r="C279" s="19"/>
      <c r="O279" s="20"/>
    </row>
    <row r="280">
      <c r="C280" s="19"/>
      <c r="O280" s="20"/>
    </row>
    <row r="281">
      <c r="C281" s="19"/>
      <c r="O281" s="20"/>
    </row>
    <row r="282">
      <c r="C282" s="19"/>
      <c r="O282" s="20"/>
    </row>
    <row r="283">
      <c r="C283" s="19"/>
      <c r="O283" s="20"/>
    </row>
    <row r="284">
      <c r="C284" s="19"/>
      <c r="O284" s="20"/>
    </row>
    <row r="285">
      <c r="C285" s="19"/>
      <c r="O285" s="20"/>
    </row>
    <row r="286">
      <c r="C286" s="19"/>
      <c r="O286" s="20"/>
    </row>
    <row r="287">
      <c r="C287" s="19"/>
      <c r="O287" s="20"/>
    </row>
    <row r="288">
      <c r="C288" s="19"/>
      <c r="O288" s="20"/>
    </row>
    <row r="289">
      <c r="C289" s="19"/>
      <c r="O289" s="20"/>
    </row>
    <row r="290">
      <c r="C290" s="19"/>
      <c r="O290" s="20"/>
    </row>
    <row r="291">
      <c r="C291" s="19"/>
      <c r="O291" s="20"/>
    </row>
    <row r="292">
      <c r="C292" s="19"/>
      <c r="O292" s="20"/>
    </row>
    <row r="293">
      <c r="C293" s="19"/>
      <c r="O293" s="20"/>
    </row>
    <row r="294">
      <c r="C294" s="19"/>
      <c r="O294" s="20"/>
    </row>
    <row r="295">
      <c r="C295" s="19"/>
      <c r="O295" s="20"/>
    </row>
    <row r="296">
      <c r="C296" s="19"/>
      <c r="O296" s="20"/>
    </row>
    <row r="297">
      <c r="C297" s="19"/>
      <c r="O297" s="20"/>
    </row>
    <row r="298">
      <c r="C298" s="19"/>
      <c r="O298" s="20"/>
    </row>
    <row r="299">
      <c r="C299" s="19"/>
      <c r="O299" s="20"/>
    </row>
    <row r="300">
      <c r="C300" s="19"/>
      <c r="O300" s="20"/>
    </row>
    <row r="301">
      <c r="C301" s="19"/>
      <c r="O301" s="20"/>
    </row>
    <row r="302">
      <c r="C302" s="19"/>
      <c r="O302" s="20"/>
    </row>
    <row r="303">
      <c r="C303" s="19"/>
      <c r="O303" s="20"/>
    </row>
    <row r="304">
      <c r="C304" s="19"/>
      <c r="O304" s="20"/>
    </row>
    <row r="305">
      <c r="C305" s="19"/>
      <c r="O305" s="20"/>
    </row>
    <row r="306">
      <c r="C306" s="19"/>
      <c r="O306" s="20"/>
    </row>
    <row r="307">
      <c r="C307" s="19"/>
      <c r="O307" s="20"/>
    </row>
    <row r="308">
      <c r="C308" s="19"/>
      <c r="O308" s="20"/>
    </row>
    <row r="309">
      <c r="C309" s="19"/>
      <c r="O309" s="20"/>
    </row>
    <row r="310">
      <c r="C310" s="19"/>
      <c r="O310" s="20"/>
    </row>
    <row r="311">
      <c r="C311" s="19"/>
      <c r="O311" s="20"/>
    </row>
    <row r="312">
      <c r="C312" s="19"/>
      <c r="O312" s="20"/>
    </row>
    <row r="313">
      <c r="C313" s="19"/>
      <c r="O313" s="20"/>
    </row>
    <row r="314">
      <c r="C314" s="19"/>
      <c r="O314" s="20"/>
    </row>
    <row r="315">
      <c r="C315" s="19"/>
      <c r="O315" s="20"/>
    </row>
    <row r="316">
      <c r="C316" s="19"/>
      <c r="O316" s="20"/>
    </row>
    <row r="317">
      <c r="C317" s="19"/>
      <c r="O317" s="20"/>
    </row>
    <row r="318">
      <c r="C318" s="19"/>
      <c r="O318" s="20"/>
    </row>
    <row r="319">
      <c r="C319" s="19"/>
      <c r="O319" s="20"/>
    </row>
    <row r="320">
      <c r="C320" s="19"/>
      <c r="O320" s="20"/>
    </row>
    <row r="321">
      <c r="C321" s="19"/>
      <c r="O321" s="20"/>
    </row>
    <row r="322">
      <c r="C322" s="19"/>
      <c r="O322" s="20"/>
    </row>
    <row r="323">
      <c r="C323" s="19"/>
      <c r="O323" s="20"/>
    </row>
    <row r="324">
      <c r="C324" s="19"/>
      <c r="O324" s="20"/>
    </row>
    <row r="325">
      <c r="C325" s="19"/>
      <c r="O325" s="20"/>
    </row>
    <row r="326">
      <c r="C326" s="19"/>
      <c r="O326" s="20"/>
    </row>
    <row r="327">
      <c r="C327" s="19"/>
      <c r="O327" s="20"/>
    </row>
    <row r="328">
      <c r="C328" s="19"/>
      <c r="O328" s="20"/>
    </row>
    <row r="329">
      <c r="C329" s="19"/>
      <c r="O329" s="20"/>
    </row>
    <row r="330">
      <c r="C330" s="19"/>
      <c r="O330" s="20"/>
    </row>
    <row r="331">
      <c r="C331" s="19"/>
      <c r="O331" s="20"/>
    </row>
    <row r="332">
      <c r="C332" s="19"/>
      <c r="O332" s="20"/>
    </row>
    <row r="333">
      <c r="C333" s="19"/>
      <c r="O333" s="20"/>
    </row>
    <row r="334">
      <c r="C334" s="19"/>
      <c r="O334" s="20"/>
    </row>
    <row r="335">
      <c r="C335" s="19"/>
      <c r="O335" s="20"/>
    </row>
    <row r="336">
      <c r="C336" s="19"/>
      <c r="O336" s="20"/>
    </row>
    <row r="337">
      <c r="C337" s="19"/>
      <c r="O337" s="20"/>
    </row>
    <row r="338">
      <c r="C338" s="19"/>
      <c r="O338" s="20"/>
    </row>
    <row r="339">
      <c r="C339" s="19"/>
      <c r="O339" s="20"/>
    </row>
    <row r="340">
      <c r="C340" s="19"/>
      <c r="O340" s="20"/>
    </row>
    <row r="341">
      <c r="C341" s="19"/>
      <c r="O341" s="20"/>
    </row>
    <row r="342">
      <c r="C342" s="19"/>
      <c r="O342" s="20"/>
    </row>
    <row r="343">
      <c r="C343" s="19"/>
      <c r="O343" s="20"/>
    </row>
    <row r="344">
      <c r="C344" s="19"/>
      <c r="O344" s="20"/>
    </row>
    <row r="345">
      <c r="C345" s="19"/>
      <c r="O345" s="20"/>
    </row>
    <row r="346">
      <c r="C346" s="19"/>
      <c r="O346" s="20"/>
    </row>
    <row r="347">
      <c r="C347" s="19"/>
      <c r="O347" s="20"/>
    </row>
    <row r="348">
      <c r="C348" s="19"/>
      <c r="O348" s="20"/>
    </row>
    <row r="349">
      <c r="C349" s="19"/>
      <c r="O349" s="20"/>
    </row>
    <row r="350">
      <c r="C350" s="19"/>
      <c r="O350" s="20"/>
    </row>
    <row r="351">
      <c r="C351" s="19"/>
      <c r="O351" s="20"/>
    </row>
    <row r="352">
      <c r="C352" s="19"/>
      <c r="O352" s="20"/>
    </row>
    <row r="353">
      <c r="C353" s="19"/>
      <c r="O353" s="20"/>
    </row>
    <row r="354">
      <c r="C354" s="19"/>
      <c r="O354" s="20"/>
    </row>
    <row r="355">
      <c r="C355" s="19"/>
      <c r="O355" s="20"/>
    </row>
    <row r="356">
      <c r="C356" s="19"/>
      <c r="O356" s="20"/>
    </row>
    <row r="357">
      <c r="C357" s="19"/>
      <c r="O357" s="20"/>
    </row>
    <row r="358">
      <c r="C358" s="19"/>
      <c r="O358" s="20"/>
    </row>
    <row r="359">
      <c r="C359" s="19"/>
      <c r="O359" s="20"/>
    </row>
    <row r="360">
      <c r="C360" s="19"/>
      <c r="O360" s="20"/>
    </row>
    <row r="361">
      <c r="C361" s="19"/>
      <c r="O361" s="20"/>
    </row>
    <row r="362">
      <c r="C362" s="19"/>
      <c r="O362" s="20"/>
    </row>
    <row r="363">
      <c r="C363" s="19"/>
      <c r="O363" s="20"/>
    </row>
    <row r="364">
      <c r="C364" s="19"/>
      <c r="O364" s="20"/>
    </row>
    <row r="365">
      <c r="C365" s="19"/>
      <c r="O365" s="20"/>
    </row>
    <row r="366">
      <c r="C366" s="19"/>
      <c r="O366" s="20"/>
    </row>
    <row r="367">
      <c r="C367" s="19"/>
      <c r="O367" s="20"/>
    </row>
    <row r="368">
      <c r="C368" s="19"/>
      <c r="O368" s="20"/>
    </row>
    <row r="369">
      <c r="C369" s="19"/>
      <c r="O369" s="20"/>
    </row>
    <row r="370">
      <c r="C370" s="19"/>
      <c r="O370" s="20"/>
    </row>
    <row r="371">
      <c r="C371" s="19"/>
      <c r="O371" s="20"/>
    </row>
    <row r="372">
      <c r="C372" s="19"/>
      <c r="O372" s="20"/>
    </row>
    <row r="373">
      <c r="C373" s="19"/>
      <c r="O373" s="20"/>
    </row>
    <row r="374">
      <c r="C374" s="19"/>
      <c r="O374" s="20"/>
    </row>
    <row r="375">
      <c r="C375" s="19"/>
      <c r="O375" s="20"/>
    </row>
    <row r="376">
      <c r="C376" s="19"/>
      <c r="O376" s="20"/>
    </row>
    <row r="377">
      <c r="C377" s="19"/>
      <c r="O377" s="20"/>
    </row>
    <row r="378">
      <c r="C378" s="19"/>
      <c r="O378" s="20"/>
    </row>
    <row r="379">
      <c r="C379" s="19"/>
      <c r="O379" s="20"/>
    </row>
    <row r="380">
      <c r="C380" s="19"/>
      <c r="O380" s="20"/>
    </row>
    <row r="381">
      <c r="C381" s="19"/>
      <c r="O381" s="20"/>
    </row>
    <row r="382">
      <c r="C382" s="19"/>
      <c r="O382" s="20"/>
    </row>
    <row r="383">
      <c r="C383" s="19"/>
      <c r="O383" s="20"/>
    </row>
    <row r="384">
      <c r="C384" s="19"/>
      <c r="O384" s="20"/>
    </row>
    <row r="385">
      <c r="C385" s="19"/>
      <c r="O385" s="20"/>
    </row>
    <row r="386">
      <c r="C386" s="19"/>
      <c r="O386" s="20"/>
    </row>
    <row r="387">
      <c r="C387" s="19"/>
      <c r="O387" s="20"/>
    </row>
    <row r="388">
      <c r="C388" s="19"/>
      <c r="O388" s="20"/>
    </row>
    <row r="389">
      <c r="C389" s="19"/>
      <c r="O389" s="20"/>
    </row>
    <row r="390">
      <c r="C390" s="19"/>
      <c r="O390" s="20"/>
    </row>
    <row r="391">
      <c r="C391" s="19"/>
      <c r="O391" s="20"/>
    </row>
    <row r="392">
      <c r="C392" s="19"/>
      <c r="O392" s="20"/>
    </row>
    <row r="393">
      <c r="C393" s="19"/>
      <c r="O393" s="20"/>
    </row>
    <row r="394">
      <c r="C394" s="19"/>
      <c r="O394" s="20"/>
    </row>
    <row r="395">
      <c r="C395" s="19"/>
      <c r="O395" s="20"/>
    </row>
    <row r="396">
      <c r="C396" s="19"/>
      <c r="O396" s="20"/>
    </row>
    <row r="397">
      <c r="C397" s="19"/>
      <c r="O397" s="20"/>
    </row>
    <row r="398">
      <c r="C398" s="19"/>
      <c r="O398" s="20"/>
    </row>
    <row r="399">
      <c r="C399" s="19"/>
      <c r="O399" s="20"/>
    </row>
    <row r="400">
      <c r="C400" s="19"/>
      <c r="O400" s="20"/>
    </row>
    <row r="401">
      <c r="C401" s="19"/>
      <c r="O401" s="20"/>
    </row>
    <row r="402">
      <c r="C402" s="19"/>
      <c r="O402" s="20"/>
    </row>
    <row r="403">
      <c r="C403" s="19"/>
      <c r="O403" s="20"/>
    </row>
    <row r="404">
      <c r="C404" s="19"/>
      <c r="O404" s="20"/>
    </row>
    <row r="405">
      <c r="C405" s="19"/>
      <c r="O405" s="20"/>
    </row>
    <row r="406">
      <c r="C406" s="19"/>
      <c r="O406" s="20"/>
    </row>
    <row r="407">
      <c r="C407" s="19"/>
      <c r="O407" s="20"/>
    </row>
    <row r="408">
      <c r="C408" s="19"/>
      <c r="O408" s="20"/>
    </row>
    <row r="409">
      <c r="C409" s="19"/>
      <c r="O409" s="20"/>
    </row>
    <row r="410">
      <c r="C410" s="19"/>
      <c r="O410" s="20"/>
    </row>
    <row r="411">
      <c r="C411" s="19"/>
      <c r="O411" s="20"/>
    </row>
    <row r="412">
      <c r="C412" s="19"/>
      <c r="O412" s="20"/>
    </row>
    <row r="413">
      <c r="C413" s="19"/>
      <c r="O413" s="20"/>
    </row>
    <row r="414">
      <c r="C414" s="19"/>
      <c r="O414" s="20"/>
    </row>
    <row r="415">
      <c r="C415" s="19"/>
      <c r="O415" s="20"/>
    </row>
    <row r="416">
      <c r="C416" s="19"/>
      <c r="O416" s="20"/>
    </row>
    <row r="417">
      <c r="C417" s="19"/>
      <c r="O417" s="20"/>
    </row>
    <row r="418">
      <c r="C418" s="19"/>
      <c r="O418" s="20"/>
    </row>
    <row r="419">
      <c r="C419" s="19"/>
      <c r="O419" s="20"/>
    </row>
    <row r="420">
      <c r="C420" s="19"/>
      <c r="O420" s="20"/>
    </row>
    <row r="421">
      <c r="C421" s="19"/>
      <c r="O421" s="20"/>
    </row>
    <row r="422">
      <c r="C422" s="19"/>
      <c r="O422" s="20"/>
    </row>
    <row r="423">
      <c r="C423" s="19"/>
      <c r="O423" s="20"/>
    </row>
    <row r="424">
      <c r="C424" s="19"/>
      <c r="O424" s="20"/>
    </row>
    <row r="425">
      <c r="C425" s="19"/>
      <c r="O425" s="20"/>
    </row>
    <row r="426">
      <c r="C426" s="19"/>
      <c r="O426" s="20"/>
    </row>
    <row r="427">
      <c r="C427" s="19"/>
      <c r="O427" s="20"/>
    </row>
    <row r="428">
      <c r="C428" s="19"/>
      <c r="O428" s="20"/>
    </row>
    <row r="429">
      <c r="C429" s="19"/>
      <c r="O429" s="20"/>
    </row>
    <row r="430">
      <c r="C430" s="19"/>
      <c r="O430" s="20"/>
    </row>
    <row r="431">
      <c r="C431" s="19"/>
      <c r="O431" s="20"/>
    </row>
    <row r="432">
      <c r="C432" s="19"/>
      <c r="O432" s="20"/>
    </row>
    <row r="433">
      <c r="C433" s="19"/>
      <c r="O433" s="20"/>
    </row>
    <row r="434">
      <c r="C434" s="19"/>
      <c r="O434" s="20"/>
    </row>
    <row r="435">
      <c r="C435" s="19"/>
      <c r="O435" s="20"/>
    </row>
    <row r="436">
      <c r="C436" s="19"/>
      <c r="O436" s="20"/>
    </row>
    <row r="437">
      <c r="C437" s="19"/>
      <c r="O437" s="20"/>
    </row>
    <row r="438">
      <c r="C438" s="19"/>
      <c r="O438" s="20"/>
    </row>
    <row r="439">
      <c r="C439" s="19"/>
      <c r="O439" s="20"/>
    </row>
    <row r="440">
      <c r="C440" s="19"/>
      <c r="O440" s="20"/>
    </row>
    <row r="441">
      <c r="C441" s="19"/>
      <c r="O441" s="20"/>
    </row>
    <row r="442">
      <c r="C442" s="19"/>
      <c r="O442" s="20"/>
    </row>
    <row r="443">
      <c r="C443" s="19"/>
      <c r="O443" s="20"/>
    </row>
    <row r="444">
      <c r="C444" s="19"/>
      <c r="O444" s="20"/>
    </row>
    <row r="445">
      <c r="C445" s="19"/>
      <c r="O445" s="20"/>
    </row>
    <row r="446">
      <c r="C446" s="19"/>
      <c r="O446" s="20"/>
    </row>
    <row r="447">
      <c r="C447" s="19"/>
      <c r="O447" s="20"/>
    </row>
    <row r="448">
      <c r="C448" s="19"/>
      <c r="O448" s="20"/>
    </row>
    <row r="449">
      <c r="C449" s="19"/>
      <c r="O449" s="20"/>
    </row>
    <row r="450">
      <c r="C450" s="19"/>
      <c r="O450" s="20"/>
    </row>
    <row r="451">
      <c r="C451" s="19"/>
      <c r="O451" s="20"/>
    </row>
    <row r="452">
      <c r="C452" s="19"/>
      <c r="O452" s="20"/>
    </row>
    <row r="453">
      <c r="C453" s="19"/>
      <c r="O453" s="20"/>
    </row>
    <row r="454">
      <c r="C454" s="19"/>
      <c r="O454" s="20"/>
    </row>
    <row r="455">
      <c r="C455" s="19"/>
      <c r="O455" s="20"/>
    </row>
    <row r="456">
      <c r="C456" s="19"/>
      <c r="O456" s="20"/>
    </row>
    <row r="457">
      <c r="C457" s="19"/>
      <c r="O457" s="20"/>
    </row>
    <row r="458">
      <c r="C458" s="19"/>
      <c r="O458" s="20"/>
    </row>
    <row r="459">
      <c r="C459" s="19"/>
      <c r="O459" s="20"/>
    </row>
    <row r="460">
      <c r="C460" s="19"/>
      <c r="O460" s="20"/>
    </row>
    <row r="461">
      <c r="C461" s="19"/>
      <c r="O461" s="20"/>
    </row>
    <row r="462">
      <c r="C462" s="19"/>
      <c r="O462" s="20"/>
    </row>
    <row r="463">
      <c r="C463" s="19"/>
      <c r="O463" s="20"/>
    </row>
    <row r="464">
      <c r="C464" s="19"/>
      <c r="O464" s="20"/>
    </row>
    <row r="465">
      <c r="C465" s="19"/>
      <c r="O465" s="20"/>
    </row>
    <row r="466">
      <c r="C466" s="19"/>
      <c r="O466" s="20"/>
    </row>
    <row r="467">
      <c r="C467" s="19"/>
      <c r="O467" s="20"/>
    </row>
    <row r="468">
      <c r="C468" s="19"/>
      <c r="O468" s="20"/>
    </row>
    <row r="469">
      <c r="C469" s="19"/>
      <c r="O469" s="20"/>
    </row>
    <row r="470">
      <c r="C470" s="19"/>
      <c r="O470" s="20"/>
    </row>
    <row r="471">
      <c r="C471" s="19"/>
      <c r="O471" s="20"/>
    </row>
    <row r="472">
      <c r="C472" s="19"/>
      <c r="O472" s="20"/>
    </row>
    <row r="473">
      <c r="C473" s="19"/>
      <c r="O473" s="20"/>
    </row>
    <row r="474">
      <c r="C474" s="19"/>
      <c r="O474" s="20"/>
    </row>
    <row r="475">
      <c r="C475" s="19"/>
      <c r="O475" s="20"/>
    </row>
    <row r="476">
      <c r="C476" s="19"/>
      <c r="O476" s="20"/>
    </row>
    <row r="477">
      <c r="C477" s="19"/>
      <c r="O477" s="20"/>
    </row>
    <row r="478">
      <c r="C478" s="19"/>
      <c r="O478" s="20"/>
    </row>
    <row r="479">
      <c r="C479" s="19"/>
      <c r="O479" s="20"/>
    </row>
    <row r="480">
      <c r="C480" s="19"/>
      <c r="O480" s="20"/>
    </row>
    <row r="481">
      <c r="C481" s="19"/>
      <c r="O481" s="20"/>
    </row>
    <row r="482">
      <c r="C482" s="19"/>
      <c r="O482" s="20"/>
    </row>
    <row r="483">
      <c r="C483" s="19"/>
      <c r="O483" s="20"/>
    </row>
    <row r="484">
      <c r="C484" s="19"/>
      <c r="O484" s="20"/>
    </row>
    <row r="485">
      <c r="C485" s="19"/>
      <c r="O485" s="20"/>
    </row>
    <row r="486">
      <c r="C486" s="19"/>
      <c r="O486" s="20"/>
    </row>
    <row r="487">
      <c r="C487" s="19"/>
      <c r="O487" s="20"/>
    </row>
    <row r="488">
      <c r="C488" s="19"/>
      <c r="O488" s="20"/>
    </row>
    <row r="489">
      <c r="C489" s="19"/>
      <c r="O489" s="20"/>
    </row>
    <row r="490">
      <c r="C490" s="19"/>
      <c r="O490" s="20"/>
    </row>
    <row r="491">
      <c r="C491" s="19"/>
      <c r="O491" s="20"/>
    </row>
    <row r="492">
      <c r="C492" s="19"/>
      <c r="O492" s="20"/>
    </row>
    <row r="493">
      <c r="C493" s="19"/>
      <c r="O493" s="20"/>
    </row>
    <row r="494">
      <c r="C494" s="19"/>
      <c r="O494" s="20"/>
    </row>
    <row r="495">
      <c r="C495" s="19"/>
      <c r="O495" s="20"/>
    </row>
    <row r="496">
      <c r="C496" s="19"/>
      <c r="O496" s="20"/>
    </row>
    <row r="497">
      <c r="C497" s="19"/>
      <c r="O497" s="20"/>
    </row>
    <row r="498">
      <c r="C498" s="19"/>
      <c r="O498" s="20"/>
    </row>
    <row r="499">
      <c r="C499" s="19"/>
      <c r="O499" s="20"/>
    </row>
    <row r="500">
      <c r="C500" s="19"/>
      <c r="O500" s="20"/>
    </row>
    <row r="501">
      <c r="C501" s="19"/>
      <c r="O501" s="20"/>
    </row>
    <row r="502">
      <c r="C502" s="19"/>
      <c r="O502" s="20"/>
    </row>
    <row r="503">
      <c r="C503" s="19"/>
      <c r="O503" s="20"/>
    </row>
    <row r="504">
      <c r="C504" s="19"/>
      <c r="O504" s="20"/>
    </row>
    <row r="505">
      <c r="C505" s="19"/>
      <c r="O505" s="20"/>
    </row>
    <row r="506">
      <c r="C506" s="19"/>
      <c r="O506" s="20"/>
    </row>
    <row r="507">
      <c r="C507" s="19"/>
      <c r="O507" s="20"/>
    </row>
    <row r="508">
      <c r="C508" s="19"/>
      <c r="O508" s="20"/>
    </row>
    <row r="509">
      <c r="C509" s="19"/>
      <c r="O509" s="20"/>
    </row>
    <row r="510">
      <c r="C510" s="19"/>
      <c r="O510" s="20"/>
    </row>
    <row r="511">
      <c r="C511" s="19"/>
      <c r="O511" s="20"/>
    </row>
    <row r="512">
      <c r="C512" s="19"/>
      <c r="O512" s="20"/>
    </row>
    <row r="513">
      <c r="C513" s="19"/>
      <c r="O513" s="20"/>
    </row>
    <row r="514">
      <c r="C514" s="19"/>
      <c r="O514" s="20"/>
    </row>
    <row r="515">
      <c r="C515" s="19"/>
      <c r="O515" s="20"/>
    </row>
    <row r="516">
      <c r="C516" s="19"/>
      <c r="O516" s="20"/>
    </row>
    <row r="517">
      <c r="C517" s="19"/>
      <c r="O517" s="20"/>
    </row>
    <row r="518">
      <c r="C518" s="19"/>
      <c r="O518" s="20"/>
    </row>
    <row r="519">
      <c r="C519" s="19"/>
      <c r="O519" s="20"/>
    </row>
    <row r="520">
      <c r="C520" s="19"/>
      <c r="O520" s="20"/>
    </row>
    <row r="521">
      <c r="C521" s="19"/>
      <c r="O521" s="20"/>
    </row>
    <row r="522">
      <c r="C522" s="19"/>
      <c r="O522" s="20"/>
    </row>
    <row r="523">
      <c r="C523" s="19"/>
      <c r="O523" s="20"/>
    </row>
    <row r="524">
      <c r="C524" s="19"/>
      <c r="O524" s="20"/>
    </row>
    <row r="525">
      <c r="C525" s="19"/>
      <c r="O525" s="20"/>
    </row>
    <row r="526">
      <c r="C526" s="19"/>
      <c r="O526" s="20"/>
    </row>
    <row r="527">
      <c r="C527" s="19"/>
      <c r="O527" s="20"/>
    </row>
    <row r="528">
      <c r="C528" s="19"/>
      <c r="O528" s="20"/>
    </row>
    <row r="529">
      <c r="C529" s="19"/>
      <c r="O529" s="20"/>
    </row>
    <row r="530">
      <c r="C530" s="19"/>
      <c r="O530" s="20"/>
    </row>
    <row r="531">
      <c r="C531" s="19"/>
      <c r="O531" s="20"/>
    </row>
    <row r="532">
      <c r="C532" s="19"/>
      <c r="O532" s="20"/>
    </row>
    <row r="533">
      <c r="C533" s="19"/>
      <c r="O533" s="20"/>
    </row>
    <row r="534">
      <c r="C534" s="19"/>
      <c r="O534" s="20"/>
    </row>
    <row r="535">
      <c r="C535" s="19"/>
      <c r="O535" s="20"/>
    </row>
    <row r="536">
      <c r="C536" s="19"/>
      <c r="O536" s="20"/>
    </row>
    <row r="537">
      <c r="C537" s="19"/>
      <c r="O537" s="20"/>
    </row>
    <row r="538">
      <c r="C538" s="19"/>
      <c r="O538" s="20"/>
    </row>
    <row r="539">
      <c r="C539" s="19"/>
      <c r="O539" s="20"/>
    </row>
    <row r="540">
      <c r="C540" s="19"/>
      <c r="O540" s="20"/>
    </row>
    <row r="541">
      <c r="C541" s="19"/>
      <c r="O541" s="20"/>
    </row>
    <row r="542">
      <c r="C542" s="19"/>
      <c r="O542" s="20"/>
    </row>
    <row r="543">
      <c r="C543" s="19"/>
      <c r="O543" s="20"/>
    </row>
    <row r="544">
      <c r="C544" s="19"/>
      <c r="O544" s="20"/>
    </row>
    <row r="545">
      <c r="C545" s="19"/>
      <c r="O545" s="20"/>
    </row>
    <row r="546">
      <c r="C546" s="19"/>
      <c r="O546" s="20"/>
    </row>
    <row r="547">
      <c r="C547" s="19"/>
      <c r="O547" s="20"/>
    </row>
    <row r="548">
      <c r="C548" s="19"/>
      <c r="O548" s="20"/>
    </row>
    <row r="549">
      <c r="C549" s="19"/>
      <c r="O549" s="20"/>
    </row>
    <row r="550">
      <c r="C550" s="19"/>
      <c r="O550" s="20"/>
    </row>
    <row r="551">
      <c r="C551" s="19"/>
      <c r="O551" s="20"/>
    </row>
    <row r="552">
      <c r="C552" s="19"/>
      <c r="O552" s="20"/>
    </row>
    <row r="553">
      <c r="C553" s="19"/>
      <c r="O553" s="20"/>
    </row>
    <row r="554">
      <c r="C554" s="19"/>
      <c r="O554" s="20"/>
    </row>
    <row r="555">
      <c r="C555" s="19"/>
      <c r="O555" s="20"/>
    </row>
    <row r="556">
      <c r="C556" s="19"/>
      <c r="O556" s="20"/>
    </row>
    <row r="557">
      <c r="C557" s="19"/>
      <c r="O557" s="20"/>
    </row>
    <row r="558">
      <c r="C558" s="19"/>
      <c r="O558" s="20"/>
    </row>
    <row r="559">
      <c r="C559" s="19"/>
      <c r="O559" s="20"/>
    </row>
    <row r="560">
      <c r="C560" s="19"/>
      <c r="O560" s="20"/>
    </row>
    <row r="561">
      <c r="C561" s="19"/>
      <c r="O561" s="20"/>
    </row>
    <row r="562">
      <c r="C562" s="19"/>
      <c r="O562" s="20"/>
    </row>
    <row r="563">
      <c r="C563" s="19"/>
      <c r="O563" s="20"/>
    </row>
    <row r="564">
      <c r="C564" s="19"/>
      <c r="O564" s="20"/>
    </row>
    <row r="565">
      <c r="C565" s="19"/>
      <c r="O565" s="20"/>
    </row>
    <row r="566">
      <c r="C566" s="19"/>
      <c r="O566" s="20"/>
    </row>
    <row r="567">
      <c r="C567" s="19"/>
      <c r="O567" s="20"/>
    </row>
    <row r="568">
      <c r="C568" s="19"/>
      <c r="O568" s="20"/>
    </row>
    <row r="569">
      <c r="C569" s="19"/>
      <c r="O569" s="20"/>
    </row>
    <row r="570">
      <c r="C570" s="19"/>
      <c r="O570" s="20"/>
    </row>
    <row r="571">
      <c r="C571" s="19"/>
      <c r="O571" s="20"/>
    </row>
    <row r="572">
      <c r="C572" s="19"/>
      <c r="O572" s="20"/>
    </row>
    <row r="573">
      <c r="C573" s="19"/>
      <c r="O573" s="20"/>
    </row>
    <row r="574">
      <c r="C574" s="19"/>
      <c r="O574" s="20"/>
    </row>
    <row r="575">
      <c r="C575" s="19"/>
      <c r="O575" s="20"/>
    </row>
    <row r="576">
      <c r="C576" s="19"/>
      <c r="O576" s="20"/>
    </row>
    <row r="577">
      <c r="C577" s="19"/>
      <c r="O577" s="20"/>
    </row>
    <row r="578">
      <c r="C578" s="19"/>
      <c r="O578" s="20"/>
    </row>
    <row r="579">
      <c r="C579" s="19"/>
      <c r="O579" s="20"/>
    </row>
    <row r="580">
      <c r="C580" s="19"/>
      <c r="O580" s="20"/>
    </row>
    <row r="581">
      <c r="C581" s="19"/>
      <c r="O581" s="20"/>
    </row>
    <row r="582">
      <c r="C582" s="19"/>
      <c r="O582" s="20"/>
    </row>
    <row r="583">
      <c r="C583" s="19"/>
      <c r="O583" s="20"/>
    </row>
    <row r="584">
      <c r="C584" s="19"/>
      <c r="O584" s="20"/>
    </row>
    <row r="585">
      <c r="C585" s="19"/>
      <c r="O585" s="20"/>
    </row>
    <row r="586">
      <c r="C586" s="19"/>
      <c r="O586" s="20"/>
    </row>
    <row r="587">
      <c r="C587" s="19"/>
      <c r="O587" s="20"/>
    </row>
    <row r="588">
      <c r="C588" s="19"/>
      <c r="O588" s="20"/>
    </row>
    <row r="589">
      <c r="C589" s="19"/>
      <c r="O589" s="20"/>
    </row>
    <row r="590">
      <c r="C590" s="19"/>
      <c r="O590" s="20"/>
    </row>
    <row r="591">
      <c r="C591" s="19"/>
      <c r="O591" s="20"/>
    </row>
    <row r="592">
      <c r="C592" s="19"/>
      <c r="O592" s="20"/>
    </row>
    <row r="593">
      <c r="C593" s="19"/>
      <c r="O593" s="20"/>
    </row>
    <row r="594">
      <c r="C594" s="19"/>
      <c r="O594" s="20"/>
    </row>
    <row r="595">
      <c r="C595" s="19"/>
      <c r="O595" s="20"/>
    </row>
    <row r="596">
      <c r="C596" s="19"/>
      <c r="O596" s="20"/>
    </row>
    <row r="597">
      <c r="C597" s="19"/>
      <c r="O597" s="20"/>
    </row>
    <row r="598">
      <c r="C598" s="19"/>
      <c r="O598" s="20"/>
    </row>
    <row r="599">
      <c r="C599" s="19"/>
      <c r="O599" s="20"/>
    </row>
    <row r="600">
      <c r="C600" s="19"/>
      <c r="O600" s="20"/>
    </row>
    <row r="601">
      <c r="C601" s="19"/>
      <c r="O601" s="20"/>
    </row>
    <row r="602">
      <c r="C602" s="19"/>
      <c r="O602" s="20"/>
    </row>
    <row r="603">
      <c r="C603" s="19"/>
      <c r="O603" s="20"/>
    </row>
    <row r="604">
      <c r="C604" s="19"/>
      <c r="O604" s="20"/>
    </row>
    <row r="605">
      <c r="C605" s="19"/>
      <c r="O605" s="20"/>
    </row>
    <row r="606">
      <c r="C606" s="19"/>
      <c r="O606" s="20"/>
    </row>
    <row r="607">
      <c r="C607" s="19"/>
      <c r="O607" s="20"/>
    </row>
    <row r="608">
      <c r="C608" s="19"/>
      <c r="O608" s="20"/>
    </row>
    <row r="609">
      <c r="C609" s="19"/>
      <c r="O609" s="20"/>
    </row>
    <row r="610">
      <c r="C610" s="19"/>
      <c r="O610" s="20"/>
    </row>
    <row r="611">
      <c r="C611" s="19"/>
      <c r="O611" s="20"/>
    </row>
    <row r="612">
      <c r="C612" s="19"/>
      <c r="O612" s="20"/>
    </row>
    <row r="613">
      <c r="C613" s="19"/>
      <c r="O613" s="20"/>
    </row>
    <row r="614">
      <c r="C614" s="19"/>
      <c r="O614" s="20"/>
    </row>
    <row r="615">
      <c r="C615" s="19"/>
      <c r="O615" s="20"/>
    </row>
    <row r="616">
      <c r="C616" s="19"/>
      <c r="O616" s="20"/>
    </row>
    <row r="617">
      <c r="C617" s="19"/>
      <c r="O617" s="20"/>
    </row>
    <row r="618">
      <c r="C618" s="19"/>
      <c r="O618" s="20"/>
    </row>
    <row r="619">
      <c r="C619" s="19"/>
      <c r="O619" s="20"/>
    </row>
    <row r="620">
      <c r="C620" s="19"/>
      <c r="O620" s="20"/>
    </row>
    <row r="621">
      <c r="C621" s="19"/>
      <c r="O621" s="20"/>
    </row>
    <row r="622">
      <c r="C622" s="19"/>
      <c r="O622" s="20"/>
    </row>
    <row r="623">
      <c r="C623" s="19"/>
      <c r="O623" s="20"/>
    </row>
    <row r="624">
      <c r="C624" s="19"/>
      <c r="O624" s="20"/>
    </row>
    <row r="625">
      <c r="C625" s="19"/>
      <c r="O625" s="20"/>
    </row>
    <row r="626">
      <c r="C626" s="19"/>
      <c r="O626" s="20"/>
    </row>
    <row r="627">
      <c r="C627" s="19"/>
      <c r="O627" s="20"/>
    </row>
    <row r="628">
      <c r="C628" s="19"/>
      <c r="O628" s="20"/>
    </row>
    <row r="629">
      <c r="C629" s="19"/>
      <c r="O629" s="20"/>
    </row>
    <row r="630">
      <c r="C630" s="19"/>
      <c r="O630" s="20"/>
    </row>
    <row r="631">
      <c r="C631" s="19"/>
      <c r="O631" s="20"/>
    </row>
    <row r="632">
      <c r="C632" s="19"/>
      <c r="O632" s="20"/>
    </row>
    <row r="633">
      <c r="C633" s="19"/>
      <c r="O633" s="20"/>
    </row>
    <row r="634">
      <c r="C634" s="19"/>
      <c r="O634" s="20"/>
    </row>
    <row r="635">
      <c r="C635" s="19"/>
      <c r="O635" s="20"/>
    </row>
    <row r="636">
      <c r="C636" s="19"/>
      <c r="O636" s="20"/>
    </row>
    <row r="637">
      <c r="C637" s="19"/>
      <c r="O637" s="20"/>
    </row>
    <row r="638">
      <c r="C638" s="19"/>
      <c r="O638" s="20"/>
    </row>
    <row r="639">
      <c r="C639" s="19"/>
      <c r="O639" s="20"/>
    </row>
    <row r="640">
      <c r="C640" s="19"/>
      <c r="O640" s="20"/>
    </row>
    <row r="641">
      <c r="C641" s="19"/>
      <c r="O641" s="20"/>
    </row>
    <row r="642">
      <c r="C642" s="19"/>
      <c r="O642" s="20"/>
    </row>
    <row r="643">
      <c r="C643" s="19"/>
      <c r="O643" s="20"/>
    </row>
    <row r="644">
      <c r="C644" s="19"/>
      <c r="O644" s="20"/>
    </row>
    <row r="645">
      <c r="C645" s="19"/>
      <c r="O645" s="20"/>
    </row>
    <row r="646">
      <c r="C646" s="19"/>
      <c r="O646" s="20"/>
    </row>
    <row r="647">
      <c r="C647" s="19"/>
      <c r="O647" s="20"/>
    </row>
    <row r="648">
      <c r="C648" s="19"/>
      <c r="O648" s="20"/>
    </row>
    <row r="649">
      <c r="C649" s="19"/>
      <c r="O649" s="20"/>
    </row>
    <row r="650">
      <c r="C650" s="19"/>
      <c r="O650" s="20"/>
    </row>
    <row r="651">
      <c r="C651" s="19"/>
      <c r="O651" s="20"/>
    </row>
    <row r="652">
      <c r="C652" s="19"/>
      <c r="O652" s="20"/>
    </row>
    <row r="653">
      <c r="C653" s="19"/>
      <c r="O653" s="20"/>
    </row>
    <row r="654">
      <c r="C654" s="19"/>
      <c r="O654" s="20"/>
    </row>
    <row r="655">
      <c r="C655" s="19"/>
      <c r="O655" s="20"/>
    </row>
    <row r="656">
      <c r="C656" s="19"/>
      <c r="O656" s="20"/>
    </row>
    <row r="657">
      <c r="C657" s="19"/>
      <c r="O657" s="20"/>
    </row>
    <row r="658">
      <c r="C658" s="19"/>
      <c r="O658" s="20"/>
    </row>
    <row r="659">
      <c r="C659" s="19"/>
      <c r="O659" s="20"/>
    </row>
    <row r="660">
      <c r="C660" s="19"/>
      <c r="O660" s="20"/>
    </row>
    <row r="661">
      <c r="C661" s="19"/>
      <c r="O661" s="20"/>
    </row>
    <row r="662">
      <c r="C662" s="19"/>
      <c r="O662" s="20"/>
    </row>
    <row r="663">
      <c r="C663" s="19"/>
      <c r="O663" s="20"/>
    </row>
    <row r="664">
      <c r="C664" s="19"/>
      <c r="O664" s="20"/>
    </row>
    <row r="665">
      <c r="C665" s="19"/>
      <c r="O665" s="20"/>
    </row>
    <row r="666">
      <c r="C666" s="19"/>
      <c r="O666" s="20"/>
    </row>
    <row r="667">
      <c r="C667" s="19"/>
      <c r="O667" s="20"/>
    </row>
    <row r="668">
      <c r="C668" s="19"/>
      <c r="O668" s="20"/>
    </row>
    <row r="669">
      <c r="C669" s="19"/>
      <c r="O669" s="20"/>
    </row>
    <row r="670">
      <c r="C670" s="19"/>
      <c r="O670" s="20"/>
    </row>
    <row r="671">
      <c r="C671" s="19"/>
      <c r="O671" s="20"/>
    </row>
    <row r="672">
      <c r="C672" s="19"/>
      <c r="O672" s="20"/>
    </row>
    <row r="673">
      <c r="C673" s="19"/>
      <c r="O673" s="20"/>
    </row>
    <row r="674">
      <c r="C674" s="19"/>
      <c r="O674" s="20"/>
    </row>
    <row r="675">
      <c r="C675" s="19"/>
      <c r="O675" s="20"/>
    </row>
    <row r="676">
      <c r="C676" s="19"/>
      <c r="O676" s="20"/>
    </row>
    <row r="677">
      <c r="C677" s="19"/>
      <c r="O677" s="20"/>
    </row>
    <row r="678">
      <c r="C678" s="19"/>
      <c r="O678" s="20"/>
    </row>
    <row r="679">
      <c r="C679" s="19"/>
      <c r="O679" s="20"/>
    </row>
    <row r="680">
      <c r="C680" s="19"/>
      <c r="O680" s="20"/>
    </row>
    <row r="681">
      <c r="C681" s="19"/>
      <c r="O681" s="20"/>
    </row>
    <row r="682">
      <c r="C682" s="19"/>
      <c r="O682" s="20"/>
    </row>
    <row r="683">
      <c r="C683" s="19"/>
      <c r="O683" s="20"/>
    </row>
    <row r="684">
      <c r="C684" s="19"/>
      <c r="O684" s="20"/>
    </row>
    <row r="685">
      <c r="C685" s="19"/>
      <c r="O685" s="20"/>
    </row>
    <row r="686">
      <c r="C686" s="19"/>
      <c r="O686" s="20"/>
    </row>
    <row r="687">
      <c r="C687" s="19"/>
      <c r="O687" s="20"/>
    </row>
    <row r="688">
      <c r="C688" s="19"/>
      <c r="O688" s="20"/>
    </row>
    <row r="689">
      <c r="C689" s="19"/>
      <c r="O689" s="20"/>
    </row>
    <row r="690">
      <c r="C690" s="19"/>
      <c r="O690" s="20"/>
    </row>
    <row r="691">
      <c r="C691" s="19"/>
      <c r="O691" s="20"/>
    </row>
    <row r="692">
      <c r="C692" s="19"/>
      <c r="O692" s="20"/>
    </row>
    <row r="693">
      <c r="C693" s="19"/>
      <c r="O693" s="20"/>
    </row>
    <row r="694">
      <c r="C694" s="19"/>
      <c r="O694" s="20"/>
    </row>
    <row r="695">
      <c r="C695" s="19"/>
      <c r="O695" s="20"/>
    </row>
    <row r="696">
      <c r="C696" s="19"/>
      <c r="O696" s="20"/>
    </row>
    <row r="697">
      <c r="C697" s="19"/>
      <c r="O697" s="20"/>
    </row>
    <row r="698">
      <c r="C698" s="19"/>
      <c r="O698" s="20"/>
    </row>
    <row r="699">
      <c r="C699" s="19"/>
      <c r="O699" s="20"/>
    </row>
    <row r="700">
      <c r="C700" s="19"/>
      <c r="O700" s="20"/>
    </row>
    <row r="701">
      <c r="C701" s="19"/>
      <c r="O701" s="20"/>
    </row>
    <row r="702">
      <c r="C702" s="19"/>
      <c r="O702" s="20"/>
    </row>
    <row r="703">
      <c r="C703" s="19"/>
      <c r="O703" s="20"/>
    </row>
    <row r="704">
      <c r="C704" s="19"/>
      <c r="O704" s="20"/>
    </row>
    <row r="705">
      <c r="C705" s="19"/>
      <c r="O705" s="20"/>
    </row>
    <row r="706">
      <c r="C706" s="19"/>
      <c r="O706" s="20"/>
    </row>
    <row r="707">
      <c r="C707" s="19"/>
      <c r="O707" s="20"/>
    </row>
    <row r="708">
      <c r="C708" s="19"/>
      <c r="O708" s="20"/>
    </row>
    <row r="709">
      <c r="C709" s="19"/>
      <c r="O709" s="20"/>
    </row>
    <row r="710">
      <c r="C710" s="19"/>
      <c r="O710" s="20"/>
    </row>
    <row r="711">
      <c r="C711" s="19"/>
      <c r="O711" s="20"/>
    </row>
    <row r="712">
      <c r="C712" s="19"/>
      <c r="O712" s="20"/>
    </row>
    <row r="713">
      <c r="C713" s="19"/>
      <c r="O713" s="20"/>
    </row>
    <row r="714">
      <c r="C714" s="19"/>
      <c r="O714" s="20"/>
    </row>
    <row r="715">
      <c r="C715" s="19"/>
      <c r="O715" s="20"/>
    </row>
    <row r="716">
      <c r="C716" s="19"/>
      <c r="O716" s="20"/>
    </row>
    <row r="717">
      <c r="C717" s="19"/>
      <c r="O717" s="20"/>
    </row>
    <row r="718">
      <c r="C718" s="19"/>
      <c r="O718" s="20"/>
    </row>
    <row r="719">
      <c r="C719" s="19"/>
      <c r="O719" s="20"/>
    </row>
    <row r="720">
      <c r="C720" s="19"/>
      <c r="O720" s="20"/>
    </row>
    <row r="721">
      <c r="C721" s="19"/>
      <c r="O721" s="20"/>
    </row>
    <row r="722">
      <c r="C722" s="19"/>
      <c r="O722" s="20"/>
    </row>
    <row r="723">
      <c r="C723" s="19"/>
      <c r="O723" s="20"/>
    </row>
    <row r="724">
      <c r="C724" s="19"/>
      <c r="O724" s="20"/>
    </row>
    <row r="725">
      <c r="C725" s="19"/>
      <c r="O725" s="20"/>
    </row>
    <row r="726">
      <c r="C726" s="19"/>
      <c r="O726" s="20"/>
    </row>
    <row r="727">
      <c r="C727" s="19"/>
      <c r="O727" s="20"/>
    </row>
    <row r="728">
      <c r="C728" s="19"/>
      <c r="O728" s="20"/>
    </row>
    <row r="729">
      <c r="C729" s="19"/>
      <c r="O729" s="20"/>
    </row>
    <row r="730">
      <c r="C730" s="19"/>
      <c r="O730" s="20"/>
    </row>
    <row r="731">
      <c r="C731" s="19"/>
      <c r="O731" s="20"/>
    </row>
    <row r="732">
      <c r="C732" s="19"/>
      <c r="O732" s="20"/>
    </row>
    <row r="733">
      <c r="C733" s="19"/>
      <c r="O733" s="20"/>
    </row>
    <row r="734">
      <c r="C734" s="19"/>
      <c r="O734" s="20"/>
    </row>
    <row r="735">
      <c r="C735" s="19"/>
      <c r="O735" s="20"/>
    </row>
    <row r="736">
      <c r="C736" s="19"/>
      <c r="O736" s="20"/>
    </row>
    <row r="737">
      <c r="C737" s="19"/>
      <c r="O737" s="20"/>
    </row>
    <row r="738">
      <c r="C738" s="19"/>
      <c r="O738" s="20"/>
    </row>
    <row r="739">
      <c r="C739" s="19"/>
      <c r="O739" s="20"/>
    </row>
    <row r="740">
      <c r="C740" s="19"/>
      <c r="O740" s="20"/>
    </row>
    <row r="741">
      <c r="C741" s="19"/>
      <c r="O741" s="20"/>
    </row>
    <row r="742">
      <c r="C742" s="19"/>
      <c r="O742" s="20"/>
    </row>
    <row r="743">
      <c r="C743" s="19"/>
      <c r="O743" s="20"/>
    </row>
    <row r="744">
      <c r="C744" s="19"/>
      <c r="O744" s="20"/>
    </row>
    <row r="745">
      <c r="C745" s="19"/>
      <c r="O745" s="20"/>
    </row>
    <row r="746">
      <c r="C746" s="19"/>
      <c r="O746" s="20"/>
    </row>
    <row r="747">
      <c r="C747" s="19"/>
      <c r="O747" s="20"/>
    </row>
    <row r="748">
      <c r="C748" s="19"/>
      <c r="O748" s="20"/>
    </row>
    <row r="749">
      <c r="C749" s="19"/>
      <c r="O749" s="20"/>
    </row>
    <row r="750">
      <c r="C750" s="19"/>
      <c r="O750" s="20"/>
    </row>
    <row r="751">
      <c r="C751" s="19"/>
      <c r="O751" s="20"/>
    </row>
    <row r="752">
      <c r="C752" s="19"/>
      <c r="O752" s="20"/>
    </row>
    <row r="753">
      <c r="C753" s="19"/>
      <c r="O753" s="20"/>
    </row>
    <row r="754">
      <c r="C754" s="19"/>
      <c r="O754" s="20"/>
    </row>
    <row r="755">
      <c r="C755" s="19"/>
      <c r="O755" s="20"/>
    </row>
    <row r="756">
      <c r="C756" s="19"/>
      <c r="O756" s="20"/>
    </row>
    <row r="757">
      <c r="C757" s="19"/>
      <c r="O757" s="20"/>
    </row>
    <row r="758">
      <c r="C758" s="19"/>
      <c r="O758" s="20"/>
    </row>
    <row r="759">
      <c r="C759" s="19"/>
      <c r="O759" s="20"/>
    </row>
    <row r="760">
      <c r="C760" s="19"/>
      <c r="O760" s="20"/>
    </row>
    <row r="761">
      <c r="C761" s="19"/>
      <c r="O761" s="20"/>
    </row>
    <row r="762">
      <c r="C762" s="19"/>
      <c r="O762" s="20"/>
    </row>
    <row r="763">
      <c r="C763" s="19"/>
      <c r="O763" s="20"/>
    </row>
    <row r="764">
      <c r="C764" s="19"/>
      <c r="O764" s="20"/>
    </row>
    <row r="765">
      <c r="C765" s="19"/>
      <c r="O765" s="20"/>
    </row>
    <row r="766">
      <c r="C766" s="19"/>
      <c r="O766" s="20"/>
    </row>
    <row r="767">
      <c r="C767" s="19"/>
      <c r="O767" s="20"/>
    </row>
    <row r="768">
      <c r="C768" s="19"/>
      <c r="O768" s="20"/>
    </row>
    <row r="769">
      <c r="C769" s="19"/>
      <c r="O769" s="20"/>
    </row>
    <row r="770">
      <c r="C770" s="19"/>
      <c r="O770" s="20"/>
    </row>
    <row r="771">
      <c r="C771" s="19"/>
      <c r="O771" s="20"/>
    </row>
    <row r="772">
      <c r="C772" s="19"/>
      <c r="O772" s="20"/>
    </row>
    <row r="773">
      <c r="C773" s="19"/>
      <c r="O773" s="20"/>
    </row>
    <row r="774">
      <c r="C774" s="19"/>
      <c r="O774" s="20"/>
    </row>
    <row r="775">
      <c r="C775" s="19"/>
      <c r="O775" s="20"/>
    </row>
    <row r="776">
      <c r="C776" s="19"/>
      <c r="O776" s="20"/>
    </row>
    <row r="777">
      <c r="C777" s="19"/>
      <c r="O777" s="20"/>
    </row>
    <row r="778">
      <c r="C778" s="19"/>
      <c r="O778" s="20"/>
    </row>
    <row r="779">
      <c r="C779" s="19"/>
      <c r="O779" s="20"/>
    </row>
    <row r="780">
      <c r="C780" s="19"/>
      <c r="O780" s="20"/>
    </row>
    <row r="781">
      <c r="C781" s="19"/>
      <c r="O781" s="20"/>
    </row>
    <row r="782">
      <c r="C782" s="19"/>
      <c r="O782" s="20"/>
    </row>
    <row r="783">
      <c r="C783" s="19"/>
      <c r="O783" s="20"/>
    </row>
    <row r="784">
      <c r="C784" s="19"/>
      <c r="O784" s="20"/>
    </row>
    <row r="785">
      <c r="C785" s="19"/>
      <c r="O785" s="20"/>
    </row>
    <row r="786">
      <c r="C786" s="19"/>
      <c r="O786" s="20"/>
    </row>
    <row r="787">
      <c r="C787" s="19"/>
      <c r="O787" s="20"/>
    </row>
    <row r="788">
      <c r="C788" s="19"/>
      <c r="O788" s="20"/>
    </row>
    <row r="789">
      <c r="C789" s="19"/>
      <c r="O789" s="20"/>
    </row>
    <row r="790">
      <c r="C790" s="19"/>
      <c r="O790" s="20"/>
    </row>
    <row r="791">
      <c r="C791" s="19"/>
      <c r="O791" s="20"/>
    </row>
    <row r="792">
      <c r="C792" s="19"/>
      <c r="O792" s="20"/>
    </row>
    <row r="793">
      <c r="C793" s="19"/>
      <c r="O793" s="20"/>
    </row>
    <row r="794">
      <c r="C794" s="19"/>
      <c r="O794" s="20"/>
    </row>
    <row r="795">
      <c r="C795" s="19"/>
      <c r="O795" s="20"/>
    </row>
    <row r="796">
      <c r="C796" s="19"/>
      <c r="O796" s="20"/>
    </row>
    <row r="797">
      <c r="C797" s="19"/>
      <c r="O797" s="20"/>
    </row>
    <row r="798">
      <c r="C798" s="19"/>
      <c r="O798" s="20"/>
    </row>
    <row r="799">
      <c r="C799" s="19"/>
      <c r="O799" s="20"/>
    </row>
    <row r="800">
      <c r="C800" s="19"/>
      <c r="O800" s="20"/>
    </row>
    <row r="801">
      <c r="C801" s="19"/>
      <c r="O801" s="20"/>
    </row>
    <row r="802">
      <c r="C802" s="19"/>
      <c r="O802" s="20"/>
    </row>
    <row r="803">
      <c r="C803" s="19"/>
      <c r="O803" s="20"/>
    </row>
    <row r="804">
      <c r="C804" s="19"/>
      <c r="O804" s="20"/>
    </row>
    <row r="805">
      <c r="C805" s="19"/>
      <c r="O805" s="20"/>
    </row>
    <row r="806">
      <c r="C806" s="19"/>
      <c r="O806" s="20"/>
    </row>
    <row r="807">
      <c r="C807" s="19"/>
      <c r="O807" s="20"/>
    </row>
    <row r="808">
      <c r="C808" s="19"/>
      <c r="O808" s="20"/>
    </row>
    <row r="809">
      <c r="C809" s="19"/>
      <c r="O809" s="20"/>
    </row>
    <row r="810">
      <c r="C810" s="19"/>
      <c r="O810" s="20"/>
    </row>
    <row r="811">
      <c r="C811" s="19"/>
      <c r="O811" s="20"/>
    </row>
    <row r="812">
      <c r="C812" s="19"/>
      <c r="O812" s="20"/>
    </row>
    <row r="813">
      <c r="C813" s="19"/>
      <c r="O813" s="20"/>
    </row>
    <row r="814">
      <c r="C814" s="19"/>
      <c r="O814" s="20"/>
    </row>
    <row r="815">
      <c r="C815" s="19"/>
      <c r="O815" s="20"/>
    </row>
    <row r="816">
      <c r="C816" s="19"/>
      <c r="O816" s="20"/>
    </row>
    <row r="817">
      <c r="C817" s="19"/>
      <c r="O817" s="20"/>
    </row>
    <row r="818">
      <c r="C818" s="19"/>
      <c r="O818" s="20"/>
    </row>
    <row r="819">
      <c r="C819" s="19"/>
      <c r="O819" s="20"/>
    </row>
    <row r="820">
      <c r="C820" s="19"/>
      <c r="O820" s="20"/>
    </row>
    <row r="821">
      <c r="C821" s="19"/>
      <c r="O821" s="20"/>
    </row>
    <row r="822">
      <c r="C822" s="19"/>
      <c r="O822" s="20"/>
    </row>
    <row r="823">
      <c r="C823" s="19"/>
      <c r="O823" s="20"/>
    </row>
    <row r="824">
      <c r="C824" s="19"/>
      <c r="O824" s="20"/>
    </row>
    <row r="825">
      <c r="C825" s="19"/>
      <c r="O825" s="20"/>
    </row>
    <row r="826">
      <c r="C826" s="19"/>
      <c r="O826" s="20"/>
    </row>
    <row r="827">
      <c r="C827" s="19"/>
      <c r="O827" s="20"/>
    </row>
    <row r="828">
      <c r="C828" s="19"/>
      <c r="O828" s="20"/>
    </row>
    <row r="829">
      <c r="C829" s="19"/>
      <c r="O829" s="20"/>
    </row>
    <row r="830">
      <c r="C830" s="19"/>
      <c r="O830" s="20"/>
    </row>
    <row r="831">
      <c r="C831" s="19"/>
      <c r="O831" s="20"/>
    </row>
    <row r="832">
      <c r="C832" s="19"/>
      <c r="O832" s="20"/>
    </row>
    <row r="833">
      <c r="C833" s="19"/>
      <c r="O833" s="20"/>
    </row>
    <row r="834">
      <c r="C834" s="19"/>
      <c r="O834" s="20"/>
    </row>
    <row r="835">
      <c r="C835" s="19"/>
      <c r="O835" s="20"/>
    </row>
    <row r="836">
      <c r="C836" s="19"/>
      <c r="O836" s="20"/>
    </row>
    <row r="837">
      <c r="C837" s="19"/>
      <c r="O837" s="20"/>
    </row>
    <row r="838">
      <c r="C838" s="19"/>
      <c r="O838" s="20"/>
    </row>
    <row r="839">
      <c r="C839" s="19"/>
      <c r="O839" s="20"/>
    </row>
    <row r="840">
      <c r="C840" s="19"/>
      <c r="O840" s="20"/>
    </row>
    <row r="841">
      <c r="C841" s="19"/>
      <c r="O841" s="20"/>
    </row>
    <row r="842">
      <c r="C842" s="19"/>
      <c r="O842" s="20"/>
    </row>
    <row r="843">
      <c r="C843" s="19"/>
      <c r="O843" s="20"/>
    </row>
    <row r="844">
      <c r="C844" s="19"/>
      <c r="O844" s="20"/>
    </row>
    <row r="845">
      <c r="C845" s="19"/>
      <c r="O845" s="20"/>
    </row>
    <row r="846">
      <c r="C846" s="19"/>
      <c r="O846" s="20"/>
    </row>
    <row r="847">
      <c r="C847" s="19"/>
      <c r="O847" s="20"/>
    </row>
    <row r="848">
      <c r="C848" s="19"/>
      <c r="O848" s="20"/>
    </row>
    <row r="849">
      <c r="C849" s="19"/>
      <c r="O849" s="20"/>
    </row>
    <row r="850">
      <c r="C850" s="19"/>
      <c r="O850" s="20"/>
    </row>
    <row r="851">
      <c r="C851" s="19"/>
      <c r="O851" s="20"/>
    </row>
    <row r="852">
      <c r="C852" s="19"/>
      <c r="O852" s="20"/>
    </row>
    <row r="853">
      <c r="C853" s="19"/>
      <c r="O853" s="20"/>
    </row>
    <row r="854">
      <c r="C854" s="19"/>
      <c r="O854" s="20"/>
    </row>
    <row r="855">
      <c r="C855" s="19"/>
      <c r="O855" s="20"/>
    </row>
    <row r="856">
      <c r="C856" s="19"/>
      <c r="O856" s="20"/>
    </row>
    <row r="857">
      <c r="C857" s="19"/>
      <c r="O857" s="20"/>
    </row>
    <row r="858">
      <c r="C858" s="19"/>
      <c r="O858" s="20"/>
    </row>
    <row r="859">
      <c r="C859" s="19"/>
      <c r="O859" s="20"/>
    </row>
    <row r="860">
      <c r="C860" s="19"/>
      <c r="O860" s="20"/>
    </row>
    <row r="861">
      <c r="C861" s="19"/>
      <c r="O861" s="20"/>
    </row>
    <row r="862">
      <c r="C862" s="19"/>
      <c r="O862" s="20"/>
    </row>
    <row r="863">
      <c r="C863" s="19"/>
      <c r="O863" s="20"/>
    </row>
    <row r="864">
      <c r="C864" s="19"/>
      <c r="O864" s="20"/>
    </row>
    <row r="865">
      <c r="C865" s="19"/>
      <c r="O865" s="20"/>
    </row>
    <row r="866">
      <c r="C866" s="19"/>
      <c r="O866" s="20"/>
    </row>
    <row r="867">
      <c r="C867" s="19"/>
      <c r="O867" s="20"/>
    </row>
    <row r="868">
      <c r="C868" s="19"/>
      <c r="O868" s="20"/>
    </row>
    <row r="869">
      <c r="C869" s="19"/>
      <c r="O869" s="20"/>
    </row>
    <row r="870">
      <c r="C870" s="19"/>
      <c r="O870" s="20"/>
    </row>
    <row r="871">
      <c r="C871" s="19"/>
      <c r="O871" s="20"/>
    </row>
    <row r="872">
      <c r="C872" s="19"/>
      <c r="O872" s="20"/>
    </row>
    <row r="873">
      <c r="C873" s="19"/>
      <c r="O873" s="20"/>
    </row>
    <row r="874">
      <c r="C874" s="19"/>
      <c r="O874" s="20"/>
    </row>
    <row r="875">
      <c r="C875" s="19"/>
      <c r="O875" s="20"/>
    </row>
    <row r="876">
      <c r="C876" s="19"/>
      <c r="O876" s="20"/>
    </row>
    <row r="877">
      <c r="C877" s="19"/>
      <c r="O877" s="20"/>
    </row>
    <row r="878">
      <c r="C878" s="19"/>
      <c r="O878" s="20"/>
    </row>
    <row r="879">
      <c r="C879" s="19"/>
      <c r="O879" s="20"/>
    </row>
    <row r="880">
      <c r="C880" s="19"/>
      <c r="O880" s="20"/>
    </row>
    <row r="881">
      <c r="C881" s="19"/>
      <c r="O881" s="20"/>
    </row>
    <row r="882">
      <c r="C882" s="19"/>
      <c r="O882" s="20"/>
    </row>
    <row r="883">
      <c r="C883" s="19"/>
      <c r="O883" s="20"/>
    </row>
    <row r="884">
      <c r="C884" s="19"/>
      <c r="O884" s="20"/>
    </row>
    <row r="885">
      <c r="C885" s="19"/>
      <c r="O885" s="20"/>
    </row>
    <row r="886">
      <c r="C886" s="19"/>
      <c r="O886" s="20"/>
    </row>
    <row r="887">
      <c r="C887" s="19"/>
      <c r="O887" s="20"/>
    </row>
    <row r="888">
      <c r="C888" s="19"/>
      <c r="O888" s="20"/>
    </row>
    <row r="889">
      <c r="C889" s="19"/>
      <c r="O889" s="20"/>
    </row>
    <row r="890">
      <c r="C890" s="19"/>
      <c r="O890" s="20"/>
    </row>
    <row r="891">
      <c r="C891" s="19"/>
      <c r="O891" s="20"/>
    </row>
    <row r="892">
      <c r="C892" s="19"/>
      <c r="O892" s="20"/>
    </row>
    <row r="893">
      <c r="C893" s="19"/>
      <c r="O893" s="20"/>
    </row>
    <row r="894">
      <c r="C894" s="19"/>
      <c r="O894" s="20"/>
    </row>
    <row r="895">
      <c r="C895" s="19"/>
      <c r="O895" s="20"/>
    </row>
    <row r="896">
      <c r="C896" s="19"/>
      <c r="O896" s="20"/>
    </row>
    <row r="897">
      <c r="C897" s="19"/>
      <c r="O897" s="20"/>
    </row>
    <row r="898">
      <c r="C898" s="19"/>
      <c r="O898" s="20"/>
    </row>
    <row r="899">
      <c r="C899" s="19"/>
      <c r="O899" s="20"/>
    </row>
    <row r="900">
      <c r="C900" s="19"/>
      <c r="O900" s="20"/>
    </row>
    <row r="901">
      <c r="C901" s="19"/>
      <c r="O901" s="20"/>
    </row>
    <row r="902">
      <c r="C902" s="19"/>
      <c r="O902" s="20"/>
    </row>
    <row r="903">
      <c r="C903" s="19"/>
      <c r="O903" s="20"/>
    </row>
    <row r="904">
      <c r="C904" s="19"/>
      <c r="O904" s="20"/>
    </row>
    <row r="905">
      <c r="C905" s="19"/>
      <c r="O905" s="20"/>
    </row>
    <row r="906">
      <c r="C906" s="19"/>
      <c r="O906" s="20"/>
    </row>
    <row r="907">
      <c r="C907" s="19"/>
      <c r="O907" s="20"/>
    </row>
    <row r="908">
      <c r="C908" s="19"/>
      <c r="O908" s="20"/>
    </row>
    <row r="909">
      <c r="C909" s="19"/>
      <c r="O909" s="20"/>
    </row>
    <row r="910">
      <c r="C910" s="19"/>
      <c r="O910" s="20"/>
    </row>
    <row r="911">
      <c r="C911" s="19"/>
      <c r="O911" s="20"/>
    </row>
    <row r="912">
      <c r="C912" s="19"/>
      <c r="O912" s="20"/>
    </row>
    <row r="913">
      <c r="C913" s="19"/>
      <c r="O913" s="20"/>
    </row>
    <row r="914">
      <c r="C914" s="19"/>
      <c r="O914" s="20"/>
    </row>
    <row r="915">
      <c r="C915" s="19"/>
      <c r="O915" s="20"/>
    </row>
    <row r="916">
      <c r="C916" s="19"/>
      <c r="O916" s="20"/>
    </row>
    <row r="917">
      <c r="C917" s="19"/>
      <c r="O917" s="20"/>
    </row>
    <row r="918">
      <c r="C918" s="19"/>
      <c r="O918" s="20"/>
    </row>
    <row r="919">
      <c r="C919" s="19"/>
      <c r="O919" s="20"/>
    </row>
    <row r="920">
      <c r="C920" s="19"/>
      <c r="O920" s="20"/>
    </row>
    <row r="921">
      <c r="C921" s="19"/>
      <c r="O921" s="20"/>
    </row>
    <row r="922">
      <c r="C922" s="19"/>
      <c r="O922" s="20"/>
    </row>
    <row r="923">
      <c r="C923" s="19"/>
      <c r="O923" s="20"/>
    </row>
    <row r="924">
      <c r="C924" s="19"/>
      <c r="O924" s="20"/>
    </row>
    <row r="925">
      <c r="C925" s="19"/>
      <c r="O925" s="20"/>
    </row>
    <row r="926">
      <c r="C926" s="19"/>
      <c r="O926" s="20"/>
    </row>
    <row r="927">
      <c r="C927" s="19"/>
      <c r="O927" s="20"/>
    </row>
    <row r="928">
      <c r="C928" s="19"/>
      <c r="O928" s="20"/>
    </row>
    <row r="929">
      <c r="C929" s="19"/>
      <c r="O929" s="20"/>
    </row>
    <row r="930">
      <c r="C930" s="19"/>
      <c r="O930" s="20"/>
    </row>
    <row r="931">
      <c r="C931" s="19"/>
      <c r="O931" s="20"/>
    </row>
    <row r="932">
      <c r="C932" s="19"/>
      <c r="O932" s="20"/>
    </row>
    <row r="933">
      <c r="C933" s="19"/>
      <c r="O933" s="20"/>
    </row>
    <row r="934">
      <c r="C934" s="19"/>
      <c r="O934" s="20"/>
    </row>
    <row r="935">
      <c r="C935" s="19"/>
      <c r="O935" s="20"/>
    </row>
    <row r="936">
      <c r="C936" s="19"/>
      <c r="O936" s="20"/>
    </row>
    <row r="937">
      <c r="C937" s="19"/>
      <c r="O937" s="20"/>
    </row>
    <row r="938">
      <c r="C938" s="19"/>
      <c r="O938" s="20"/>
    </row>
    <row r="939">
      <c r="C939" s="19"/>
      <c r="O939" s="20"/>
    </row>
    <row r="940">
      <c r="C940" s="19"/>
      <c r="O940" s="20"/>
    </row>
    <row r="941">
      <c r="C941" s="19"/>
      <c r="O941" s="20"/>
    </row>
    <row r="942">
      <c r="C942" s="19"/>
      <c r="O942" s="20"/>
    </row>
    <row r="943">
      <c r="C943" s="19"/>
      <c r="O943" s="20"/>
    </row>
    <row r="944">
      <c r="C944" s="19"/>
      <c r="O944" s="20"/>
    </row>
    <row r="945">
      <c r="C945" s="19"/>
      <c r="O945" s="20"/>
    </row>
    <row r="946">
      <c r="C946" s="19"/>
      <c r="O946" s="20"/>
    </row>
    <row r="947">
      <c r="C947" s="19"/>
      <c r="O947" s="20"/>
    </row>
    <row r="948">
      <c r="C948" s="19"/>
      <c r="O948" s="20"/>
    </row>
    <row r="949">
      <c r="C949" s="19"/>
      <c r="O949" s="20"/>
    </row>
    <row r="950">
      <c r="C950" s="19"/>
      <c r="O950" s="20"/>
    </row>
    <row r="951">
      <c r="C951" s="19"/>
      <c r="O951" s="20"/>
    </row>
    <row r="952">
      <c r="C952" s="19"/>
      <c r="O952" s="20"/>
    </row>
    <row r="953">
      <c r="C953" s="19"/>
      <c r="O953" s="20"/>
    </row>
    <row r="954">
      <c r="C954" s="19"/>
      <c r="O954" s="20"/>
    </row>
    <row r="955">
      <c r="C955" s="19"/>
      <c r="O955" s="20"/>
    </row>
    <row r="956">
      <c r="C956" s="19"/>
      <c r="O956" s="20"/>
    </row>
    <row r="957">
      <c r="C957" s="19"/>
      <c r="O957" s="20"/>
    </row>
    <row r="958">
      <c r="C958" s="19"/>
      <c r="O958" s="20"/>
    </row>
    <row r="959">
      <c r="C959" s="19"/>
      <c r="O959" s="20"/>
    </row>
    <row r="960">
      <c r="C960" s="19"/>
      <c r="O960" s="20"/>
    </row>
    <row r="961">
      <c r="C961" s="19"/>
      <c r="O961" s="20"/>
    </row>
    <row r="962">
      <c r="C962" s="19"/>
      <c r="O962" s="20"/>
    </row>
    <row r="963">
      <c r="C963" s="19"/>
      <c r="O963" s="20"/>
    </row>
    <row r="964">
      <c r="C964" s="19"/>
      <c r="O964" s="20"/>
    </row>
    <row r="965">
      <c r="C965" s="19"/>
      <c r="O965" s="20"/>
    </row>
    <row r="966">
      <c r="C966" s="19"/>
      <c r="O966" s="20"/>
    </row>
    <row r="967">
      <c r="C967" s="19"/>
      <c r="O967" s="20"/>
    </row>
    <row r="968">
      <c r="C968" s="19"/>
      <c r="O968" s="20"/>
    </row>
    <row r="969">
      <c r="C969" s="19"/>
      <c r="O969" s="20"/>
    </row>
    <row r="970">
      <c r="C970" s="19"/>
      <c r="O970" s="20"/>
    </row>
    <row r="971">
      <c r="C971" s="19"/>
      <c r="O971" s="20"/>
    </row>
    <row r="972">
      <c r="C972" s="19"/>
      <c r="O972" s="20"/>
    </row>
    <row r="973">
      <c r="C973" s="19"/>
      <c r="O973" s="20"/>
    </row>
    <row r="974">
      <c r="C974" s="19"/>
      <c r="O974" s="20"/>
    </row>
    <row r="975">
      <c r="C975" s="19"/>
      <c r="O975" s="20"/>
    </row>
    <row r="976">
      <c r="C976" s="19"/>
      <c r="O976" s="20"/>
    </row>
    <row r="977">
      <c r="C977" s="19"/>
      <c r="O977" s="20"/>
    </row>
    <row r="978">
      <c r="C978" s="19"/>
      <c r="O978" s="20"/>
    </row>
    <row r="979">
      <c r="C979" s="19"/>
      <c r="O979" s="20"/>
    </row>
    <row r="980">
      <c r="C980" s="19"/>
      <c r="O980" s="20"/>
    </row>
    <row r="981">
      <c r="C981" s="19"/>
      <c r="O981" s="20"/>
    </row>
    <row r="982">
      <c r="C982" s="19"/>
      <c r="O982" s="20"/>
    </row>
    <row r="983">
      <c r="C983" s="19"/>
      <c r="O983" s="20"/>
    </row>
    <row r="984">
      <c r="C984" s="19"/>
      <c r="O984" s="20"/>
    </row>
    <row r="985">
      <c r="C985" s="19"/>
      <c r="O985" s="20"/>
    </row>
    <row r="986">
      <c r="C986" s="19"/>
      <c r="O986" s="20"/>
    </row>
    <row r="987">
      <c r="C987" s="19"/>
      <c r="O987" s="20"/>
    </row>
    <row r="988">
      <c r="C988" s="19"/>
      <c r="O988" s="20"/>
    </row>
    <row r="989">
      <c r="C989" s="19"/>
      <c r="O989" s="20"/>
    </row>
    <row r="990">
      <c r="C990" s="19"/>
      <c r="O990" s="20"/>
    </row>
    <row r="991">
      <c r="C991" s="19"/>
      <c r="O991" s="20"/>
    </row>
    <row r="992">
      <c r="C992" s="19"/>
      <c r="O992" s="20"/>
    </row>
    <row r="993">
      <c r="C993" s="19"/>
      <c r="O993" s="20"/>
    </row>
    <row r="994">
      <c r="C994" s="19"/>
      <c r="O994" s="20"/>
    </row>
    <row r="995">
      <c r="C995" s="19"/>
      <c r="O995" s="20"/>
    </row>
    <row r="996">
      <c r="C996" s="19"/>
      <c r="O996" s="20"/>
    </row>
    <row r="997">
      <c r="C997" s="19"/>
      <c r="O997" s="20"/>
    </row>
    <row r="998">
      <c r="C998" s="19"/>
      <c r="O998" s="20"/>
    </row>
    <row r="999">
      <c r="C999" s="19"/>
      <c r="O999" s="20"/>
    </row>
    <row r="1000">
      <c r="C1000" s="19"/>
      <c r="O1000" s="20"/>
    </row>
  </sheetData>
  <conditionalFormatting sqref="B6:B1000">
    <cfRule type="cellIs" dxfId="1" priority="1" stopIfTrue="1" operator="equal">
      <formula>"Đã khai nộp - chờ đối soát"</formula>
    </cfRule>
  </conditionalFormatting>
  <conditionalFormatting sqref="L6:L1000">
    <cfRule type="cellIs" dxfId="0" priority="2" stopIfTrue="1" operator="equal">
      <formula>"Nộp hộ"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18.88"/>
    <col customWidth="1" min="3" max="3" width="28.88"/>
    <col customWidth="1" min="4" max="4" width="18.88"/>
    <col customWidth="1" min="5" max="5" width="23.88"/>
    <col customWidth="1" min="6" max="6" width="7.63"/>
    <col customWidth="1" min="7" max="7" width="18.88"/>
    <col customWidth="1" min="8" max="8" width="8.88"/>
    <col customWidth="1" min="9" max="9" width="18.88"/>
    <col customWidth="1" min="10" max="10" width="35.13"/>
    <col customWidth="1" min="11" max="11" width="18.88"/>
    <col customWidth="1" min="12" max="13" width="23.88"/>
    <col customWidth="1" min="14" max="17" width="18.88"/>
    <col customWidth="1" min="18" max="18" width="27.63"/>
    <col customWidth="1" min="19" max="20" width="18.88"/>
    <col customWidth="1" min="21" max="23" width="32.63"/>
  </cols>
  <sheetData>
    <row r="1">
      <c r="A1" s="3" t="s">
        <v>3</v>
      </c>
      <c r="B1" s="3" t="s">
        <v>6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10</v>
      </c>
      <c r="I1" s="3" t="s">
        <v>17</v>
      </c>
      <c r="J1" s="3" t="s">
        <v>18</v>
      </c>
      <c r="K1" s="3" t="s">
        <v>19</v>
      </c>
      <c r="L1" s="3" t="s">
        <v>24</v>
      </c>
      <c r="M1" s="3" t="s">
        <v>25</v>
      </c>
      <c r="N1" s="3" t="s">
        <v>26</v>
      </c>
      <c r="O1" s="3" t="s">
        <v>29</v>
      </c>
      <c r="P1" s="3" t="s">
        <v>31</v>
      </c>
      <c r="Q1" s="3" t="s">
        <v>33</v>
      </c>
      <c r="R1" s="3" t="s">
        <v>34</v>
      </c>
      <c r="S1" s="3" t="s">
        <v>36</v>
      </c>
      <c r="T1" s="3" t="s">
        <v>38</v>
      </c>
      <c r="U1" s="3" t="s">
        <v>39</v>
      </c>
      <c r="V1" s="3" t="s">
        <v>40</v>
      </c>
      <c r="W1" s="3" t="s">
        <v>42</v>
      </c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4"/>
      <c r="R2" s="9"/>
      <c r="S2" s="9"/>
      <c r="T2" s="9"/>
      <c r="U2" s="9"/>
      <c r="V2" s="9"/>
      <c r="W2" s="9"/>
    </row>
    <row r="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1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1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1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1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1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1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1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1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1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1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1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1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1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1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1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1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1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1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1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1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1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1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1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1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1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1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1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1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1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1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1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1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1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1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1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1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1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1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1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1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1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1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1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1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1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1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1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1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1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1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1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1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1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1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1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1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1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1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1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1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1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1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1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1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1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1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1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1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1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1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1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1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1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1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1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1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1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1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1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1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1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1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1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1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1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1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1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1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1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1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1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1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1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1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1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1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1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1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1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1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1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1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1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1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1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1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1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1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1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1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1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1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1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1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1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1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1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1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1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1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1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1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1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1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1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1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1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1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1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1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1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1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1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1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1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1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1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1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1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1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1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1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1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1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1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1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1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1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1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1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1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1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1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1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1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1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1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1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1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1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1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1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1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1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1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1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1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1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1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1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1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1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1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1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1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1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1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1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1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1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1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1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1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1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1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1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1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1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1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1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1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1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1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1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1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1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1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1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1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1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1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1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1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1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1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1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1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1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1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1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1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1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1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1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1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1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1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1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1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1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1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1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1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1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1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1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1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1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1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1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1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1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1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1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1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1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1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1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1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1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1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1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1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1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1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1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1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1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1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1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1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1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1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1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1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1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1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1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1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1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1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1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1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1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1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1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1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1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1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1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1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1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1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1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1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1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1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1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1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1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1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1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1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1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1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1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1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1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1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1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1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1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1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1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1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1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1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1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1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1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1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1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1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1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1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1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1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1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1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1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1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1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1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1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1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1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1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1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1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1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1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1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1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1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1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1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1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1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1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1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1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1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1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1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1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1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1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1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1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1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1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1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1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1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1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1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1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1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1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1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1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1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1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1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1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1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1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1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1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1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1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1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1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1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1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1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1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1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1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1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1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1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1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1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1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1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1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1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1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1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1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1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1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1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1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1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1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1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1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1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1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1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1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1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1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1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1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1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1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1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1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1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1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1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1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1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1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1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1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1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1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1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1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1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1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1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1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1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1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1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1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1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1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1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1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1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1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1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1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1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1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1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1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1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1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1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1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1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1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1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1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1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1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1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1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1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1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1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1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1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1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1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1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1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1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1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1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1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1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1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1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1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1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1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1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1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1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1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1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1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1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1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1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1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1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1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1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1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1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1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1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1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1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1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1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1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1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1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1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1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1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1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1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1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1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1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1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1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1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1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1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1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1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1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1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1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1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1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1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1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1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1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1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1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1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1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1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1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1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1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1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1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1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1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1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1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1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1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1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1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1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1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1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1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1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1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1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1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1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1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1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1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1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1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1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1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1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1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1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1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1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1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1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1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1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1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1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1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1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1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1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1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1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1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1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1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1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1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1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1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1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1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1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1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1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1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1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1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1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1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1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1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1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1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1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1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1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1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1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1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1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1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1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1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1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1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1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1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1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1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1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1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1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1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1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1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1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1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1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1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1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1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1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1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1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1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1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1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1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1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1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1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1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1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1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1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1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1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1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1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1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1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1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1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1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1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1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1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1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1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1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1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1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1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1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1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1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1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1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1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1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1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1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1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1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1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1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1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1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1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1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1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1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1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1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1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1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1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1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1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1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1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1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1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1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1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1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1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1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1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1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1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1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1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1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1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1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1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1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1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1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1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1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1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1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1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1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1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1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1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1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1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1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1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1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1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1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1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1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1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1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1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1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1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1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1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1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1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1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1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1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1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1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1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1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1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1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1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1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1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1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1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1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1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1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1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1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1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1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1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1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1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1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1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1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1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1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1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1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1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1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1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1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1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1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1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1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1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1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1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1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1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1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1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1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1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1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1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1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1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1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1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1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1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1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1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1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1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1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1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1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1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1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1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1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1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1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1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1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1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1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1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1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1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1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1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1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1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1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1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1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1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1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1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1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1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1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1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1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1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1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1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1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1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1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1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1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1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1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1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1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1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1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1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1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1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1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1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1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1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1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1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1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1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1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1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1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1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1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1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1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1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1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1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1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1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1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1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1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1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1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1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1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1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1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1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1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1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1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1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1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1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1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1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1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1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1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1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1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1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1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1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1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1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1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1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1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1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1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1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1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1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1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1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1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1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1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1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1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1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1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1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1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1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1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1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1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1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1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1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1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1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1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1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1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1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1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1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1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1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1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1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1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1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1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1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1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1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1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1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1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1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1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1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1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1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1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1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1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1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1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1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1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1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1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1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1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1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1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1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1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1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1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1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1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1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1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1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1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1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1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1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1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1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1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1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1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1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1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1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1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1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1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1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1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1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1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1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1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1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1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1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1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1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1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1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1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1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1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1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1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A990" s="1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A991" s="1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>
      <c r="A992" s="1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>
      <c r="A993" s="1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>
      <c r="A994" s="1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>
      <c r="A995" s="1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>
      <c r="A996" s="1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>
      <c r="A997" s="1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>
      <c r="A998" s="1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>
      <c r="A999" s="1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>
      <c r="A1000" s="1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>
      <c r="A1001" s="1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>
      <c r="A1002" s="1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>
      <c r="A1003" s="1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>
      <c r="A1004" s="1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>
      <c r="A1005" s="1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>
      <c r="A1006" s="1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>
      <c r="A1007" s="1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>
      <c r="A1008" s="1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>
      <c r="A1009" s="1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>
      <c r="A1010" s="1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>
      <c r="A1011" s="1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>
      <c r="A1012" s="1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>
      <c r="A1013" s="1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>
      <c r="A1014" s="1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>
      <c r="A1015" s="1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>
      <c r="A1016" s="1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>
      <c r="A1017" s="1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>
      <c r="A1018" s="1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>
      <c r="A1019" s="1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>
      <c r="A1020" s="1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>
      <c r="A1021" s="1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>
      <c r="A1022" s="1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>
      <c r="A1023" s="1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>
      <c r="A1024" s="1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>
      <c r="A1025" s="1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</row>
    <row r="1026">
      <c r="A1026" s="1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>
      <c r="A1027" s="1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</row>
    <row r="1028">
      <c r="A1028" s="1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</row>
    <row r="1029">
      <c r="A1029" s="1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>
      <c r="A1030" s="1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</row>
    <row r="1031">
      <c r="A1031" s="1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</row>
    <row r="1032">
      <c r="A1032" s="1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</row>
    <row r="1033">
      <c r="A1033" s="1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</row>
    <row r="1034">
      <c r="A1034" s="1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>
      <c r="A1035" s="1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>
      <c r="A1036" s="1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>
      <c r="A1037" s="1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</row>
    <row r="1038">
      <c r="A1038" s="1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>
      <c r="A1039" s="1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>
      <c r="A1040" s="1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</row>
    <row r="1041">
      <c r="A1041" s="1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>
      <c r="A1042" s="1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>
      <c r="A1043" s="1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>
      <c r="A1044" s="1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</row>
    <row r="1045">
      <c r="A1045" s="1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</row>
    <row r="1046">
      <c r="A1046" s="1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>
      <c r="A1047" s="1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</row>
    <row r="1048">
      <c r="A1048" s="1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>
      <c r="A1049" s="1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</row>
    <row r="1050">
      <c r="A1050" s="1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>
      <c r="A1051" s="1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>
      <c r="A1052" s="1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</row>
    <row r="1053">
      <c r="A1053" s="1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</row>
    <row r="1054">
      <c r="A1054" s="1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</row>
    <row r="1055">
      <c r="A1055" s="1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</row>
    <row r="1056">
      <c r="A1056" s="1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</row>
    <row r="1057">
      <c r="A1057" s="1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>
      <c r="A1058" s="1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>
      <c r="A1059" s="1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</row>
    <row r="1060">
      <c r="A1060" s="1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</row>
    <row r="1061">
      <c r="A1061" s="1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</row>
    <row r="1062">
      <c r="A1062" s="1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>
      <c r="A1063" s="1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</row>
    <row r="1064">
      <c r="A1064" s="1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</row>
    <row r="1065">
      <c r="A1065" s="1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</row>
    <row r="1066">
      <c r="A1066" s="1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</row>
    <row r="1067">
      <c r="A1067" s="1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</row>
    <row r="1068">
      <c r="A1068" s="1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</row>
    <row r="1069">
      <c r="A1069" s="1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</row>
    <row r="1070">
      <c r="A1070" s="1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</row>
    <row r="1071">
      <c r="A1071" s="1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</row>
    <row r="1072">
      <c r="A1072" s="1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</row>
    <row r="1073">
      <c r="A1073" s="1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</row>
    <row r="1074">
      <c r="A1074" s="1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>
      <c r="A1075" s="1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</row>
    <row r="1076">
      <c r="A1076" s="1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</row>
    <row r="1077">
      <c r="A1077" s="1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</row>
    <row r="1078">
      <c r="A1078" s="1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</row>
    <row r="1079">
      <c r="A1079" s="1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</row>
    <row r="1080">
      <c r="A1080" s="1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</row>
    <row r="1081">
      <c r="A1081" s="1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</row>
    <row r="1082">
      <c r="A1082" s="1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</row>
    <row r="1083">
      <c r="A1083" s="1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</row>
    <row r="1084">
      <c r="A1084" s="1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</row>
    <row r="1085">
      <c r="A1085" s="1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</row>
    <row r="1086">
      <c r="A1086" s="1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>
      <c r="A1087" s="1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</row>
    <row r="1088">
      <c r="A1088" s="1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</row>
    <row r="1089">
      <c r="A1089" s="1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</row>
    <row r="1090">
      <c r="A1090" s="1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</row>
    <row r="1091">
      <c r="A1091" s="1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</row>
    <row r="1092">
      <c r="A1092" s="1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</row>
    <row r="1093">
      <c r="A1093" s="1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</row>
    <row r="1094">
      <c r="A1094" s="1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</row>
    <row r="1095">
      <c r="A1095" s="1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</row>
    <row r="1096">
      <c r="A1096" s="1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</row>
    <row r="1097">
      <c r="A1097" s="1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</row>
    <row r="1098">
      <c r="A1098" s="1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>
      <c r="A1099" s="1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</row>
    <row r="1100">
      <c r="A1100" s="1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</row>
    <row r="1101">
      <c r="A1101" s="1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</row>
    <row r="1102">
      <c r="A1102" s="1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</row>
    <row r="1103">
      <c r="A1103" s="1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</row>
    <row r="1104">
      <c r="A1104" s="1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</row>
    <row r="1105">
      <c r="A1105" s="1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</row>
    <row r="1106">
      <c r="A1106" s="1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</row>
    <row r="1107">
      <c r="A1107" s="1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</row>
    <row r="1108">
      <c r="A1108" s="1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</row>
    <row r="1109">
      <c r="A1109" s="1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</row>
    <row r="1110">
      <c r="A1110" s="1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>
      <c r="A1111" s="1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</row>
    <row r="1112">
      <c r="A1112" s="1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</row>
    <row r="1113">
      <c r="A1113" s="1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</row>
    <row r="1114">
      <c r="A1114" s="1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</row>
    <row r="1115">
      <c r="A1115" s="1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</row>
    <row r="1116">
      <c r="A1116" s="1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</row>
    <row r="1117">
      <c r="A1117" s="1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</row>
    <row r="1118">
      <c r="A1118" s="1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</row>
    <row r="1119">
      <c r="A1119" s="1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</row>
    <row r="1120">
      <c r="A1120" s="1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</row>
    <row r="1121">
      <c r="A1121" s="1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</row>
    <row r="1122">
      <c r="A1122" s="1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>
      <c r="A1123" s="1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</row>
    <row r="1124">
      <c r="A1124" s="1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>
      <c r="A1125" s="1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</row>
    <row r="1126">
      <c r="A1126" s="1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</row>
    <row r="1127">
      <c r="A1127" s="1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</row>
    <row r="1128">
      <c r="A1128" s="1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</row>
    <row r="1129">
      <c r="A1129" s="1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</row>
    <row r="1130">
      <c r="A1130" s="1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</row>
    <row r="1131">
      <c r="A1131" s="1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</row>
    <row r="1132">
      <c r="A1132" s="1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</row>
    <row r="1133">
      <c r="A1133" s="1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</row>
    <row r="1134">
      <c r="A1134" s="1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>
      <c r="A1135" s="1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</row>
    <row r="1136">
      <c r="A1136" s="1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</row>
    <row r="1137">
      <c r="A1137" s="1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</row>
    <row r="1138">
      <c r="A1138" s="1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</row>
    <row r="1139">
      <c r="A1139" s="1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>
      <c r="A1140" s="1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</row>
    <row r="1141">
      <c r="A1141" s="1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</row>
    <row r="1142">
      <c r="A1142" s="1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>
      <c r="A1143" s="1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</row>
    <row r="1144">
      <c r="A1144" s="1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</row>
    <row r="1145">
      <c r="A1145" s="1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</row>
    <row r="1146">
      <c r="A1146" s="1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>
      <c r="A1147" s="1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</row>
    <row r="1148">
      <c r="A1148" s="1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</row>
    <row r="1149">
      <c r="A1149" s="1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</row>
    <row r="1150">
      <c r="A1150" s="1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</row>
    <row r="1151">
      <c r="A1151" s="1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</row>
    <row r="1152">
      <c r="A1152" s="1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</row>
    <row r="1153">
      <c r="A1153" s="1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</row>
    <row r="1154">
      <c r="A1154" s="1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</row>
    <row r="1155">
      <c r="A1155" s="1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</row>
    <row r="1156">
      <c r="A1156" s="1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</row>
    <row r="1157">
      <c r="A1157" s="1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</row>
    <row r="1158">
      <c r="A1158" s="1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</row>
    <row r="1159">
      <c r="A1159" s="1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</row>
    <row r="1160">
      <c r="A1160" s="1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</row>
    <row r="1161">
      <c r="A1161" s="1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</row>
    <row r="1162">
      <c r="A1162" s="1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</row>
    <row r="1163">
      <c r="A1163" s="1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</row>
    <row r="1164">
      <c r="A1164" s="1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</row>
    <row r="1165">
      <c r="A1165" s="1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</row>
    <row r="1166">
      <c r="A1166" s="1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</row>
    <row r="1167">
      <c r="A1167" s="1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</row>
    <row r="1168">
      <c r="A1168" s="1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</row>
    <row r="1169">
      <c r="A1169" s="1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</row>
    <row r="1170">
      <c r="A1170" s="1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</row>
    <row r="1171">
      <c r="A1171" s="1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</row>
    <row r="1172">
      <c r="A1172" s="1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</row>
    <row r="1173">
      <c r="A1173" s="1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</row>
    <row r="1174">
      <c r="A1174" s="1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</row>
    <row r="1175">
      <c r="A1175" s="1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</row>
    <row r="1176">
      <c r="A1176" s="1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</row>
    <row r="1177">
      <c r="A1177" s="1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</row>
    <row r="1178">
      <c r="A1178" s="1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</row>
    <row r="1179">
      <c r="A1179" s="1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</row>
    <row r="1180">
      <c r="A1180" s="1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</row>
    <row r="1181">
      <c r="A1181" s="1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</row>
    <row r="1182">
      <c r="A1182" s="1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</row>
    <row r="1183">
      <c r="A1183" s="1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</row>
    <row r="1184">
      <c r="A1184" s="1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</row>
    <row r="1185">
      <c r="A1185" s="1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</row>
    <row r="1186">
      <c r="A1186" s="1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</row>
    <row r="1187">
      <c r="A1187" s="1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</row>
    <row r="1188">
      <c r="A1188" s="1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</row>
    <row r="1189">
      <c r="A1189" s="1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</row>
    <row r="1190">
      <c r="A1190" s="1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</row>
    <row r="1191">
      <c r="A1191" s="1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</row>
    <row r="1192">
      <c r="A1192" s="1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</row>
    <row r="1193">
      <c r="A1193" s="1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</row>
    <row r="1194">
      <c r="A1194" s="1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</row>
    <row r="1195">
      <c r="A1195" s="1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</row>
    <row r="1196">
      <c r="A1196" s="1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</row>
    <row r="1197">
      <c r="A1197" s="1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</row>
    <row r="1198">
      <c r="A1198" s="1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</row>
    <row r="1199">
      <c r="A1199" s="1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</row>
    <row r="1200">
      <c r="A1200" s="1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</row>
    <row r="1201">
      <c r="A1201" s="1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</row>
    <row r="1202">
      <c r="A1202" s="1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</row>
    <row r="1203">
      <c r="A1203" s="1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</row>
    <row r="1204">
      <c r="A1204" s="1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</row>
    <row r="1205">
      <c r="A1205" s="1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</row>
    <row r="1206">
      <c r="A1206" s="1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</row>
    <row r="1207">
      <c r="A1207" s="1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</row>
    <row r="1208">
      <c r="A1208" s="1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</row>
    <row r="1209">
      <c r="A1209" s="1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</row>
    <row r="1210">
      <c r="A1210" s="1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</row>
    <row r="1211">
      <c r="A1211" s="1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</row>
    <row r="1212">
      <c r="A1212" s="1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</row>
    <row r="1213">
      <c r="A1213" s="1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</row>
    <row r="1214">
      <c r="A1214" s="1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</row>
    <row r="1215">
      <c r="A1215" s="1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</row>
    <row r="1216">
      <c r="A1216" s="1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</row>
    <row r="1217">
      <c r="A1217" s="1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</row>
    <row r="1218">
      <c r="A1218" s="1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</row>
    <row r="1219">
      <c r="A1219" s="1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</row>
    <row r="1220">
      <c r="A1220" s="1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</row>
    <row r="1221">
      <c r="A1221" s="1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</row>
    <row r="1222">
      <c r="A1222" s="1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</row>
    <row r="1223">
      <c r="A1223" s="1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</row>
    <row r="1224">
      <c r="A1224" s="1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</row>
    <row r="1225">
      <c r="A1225" s="1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</row>
    <row r="1226">
      <c r="A1226" s="1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</row>
    <row r="1227">
      <c r="A1227" s="1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</row>
    <row r="1228">
      <c r="A1228" s="1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</row>
    <row r="1229">
      <c r="A1229" s="1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</row>
    <row r="1230">
      <c r="A1230" s="1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</row>
    <row r="1231">
      <c r="A1231" s="1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</row>
    <row r="1232">
      <c r="A1232" s="1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</row>
    <row r="1233">
      <c r="A1233" s="1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</row>
    <row r="1234">
      <c r="A1234" s="1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</row>
    <row r="1235">
      <c r="A1235" s="1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</row>
    <row r="1236">
      <c r="A1236" s="1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</row>
    <row r="1237">
      <c r="A1237" s="1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</row>
    <row r="1238">
      <c r="A1238" s="1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</row>
    <row r="1239">
      <c r="A1239" s="1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</row>
    <row r="1240">
      <c r="A1240" s="1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</row>
    <row r="1241">
      <c r="A1241" s="1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</row>
    <row r="1242">
      <c r="A1242" s="1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</row>
    <row r="1243">
      <c r="A1243" s="1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</row>
    <row r="1244">
      <c r="A1244" s="1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</row>
    <row r="1245">
      <c r="A1245" s="1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</row>
    <row r="1246">
      <c r="A1246" s="1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</row>
    <row r="1247">
      <c r="A1247" s="1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</row>
    <row r="1248">
      <c r="A1248" s="1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</row>
    <row r="1249">
      <c r="A1249" s="1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</row>
    <row r="1250">
      <c r="A1250" s="1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</row>
    <row r="1251">
      <c r="A1251" s="1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</row>
    <row r="1252">
      <c r="A1252" s="1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</row>
    <row r="1253">
      <c r="A1253" s="1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</row>
    <row r="1254">
      <c r="A1254" s="1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</row>
    <row r="1255">
      <c r="A1255" s="1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</row>
    <row r="1256">
      <c r="A1256" s="1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</row>
    <row r="1257">
      <c r="A1257" s="1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</row>
    <row r="1258">
      <c r="A1258" s="1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</row>
    <row r="1259">
      <c r="A1259" s="1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</row>
    <row r="1260">
      <c r="A1260" s="1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</row>
    <row r="1261">
      <c r="A1261" s="1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</row>
    <row r="1262">
      <c r="A1262" s="1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</row>
    <row r="1263">
      <c r="A1263" s="1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</row>
    <row r="1264">
      <c r="A1264" s="1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</row>
    <row r="1265">
      <c r="A1265" s="1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</row>
    <row r="1266">
      <c r="A1266" s="1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</row>
    <row r="1267">
      <c r="A1267" s="1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</row>
    <row r="1268">
      <c r="A1268" s="1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</row>
    <row r="1269">
      <c r="A1269" s="1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</row>
    <row r="1270">
      <c r="A1270" s="1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</row>
    <row r="1271">
      <c r="A1271" s="1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</row>
    <row r="1272">
      <c r="A1272" s="1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</row>
    <row r="1273">
      <c r="A1273" s="1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</row>
    <row r="1274">
      <c r="A1274" s="1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</row>
    <row r="1275">
      <c r="A1275" s="1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</row>
    <row r="1276">
      <c r="A1276" s="1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</row>
    <row r="1277">
      <c r="A1277" s="1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</row>
    <row r="1278">
      <c r="A1278" s="1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</row>
    <row r="1279">
      <c r="A1279" s="1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</row>
    <row r="1280">
      <c r="A1280" s="1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</row>
    <row r="1281">
      <c r="A1281" s="1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</row>
    <row r="1282">
      <c r="A1282" s="1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</row>
    <row r="1283">
      <c r="A1283" s="1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</row>
    <row r="1284">
      <c r="A1284" s="1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</row>
    <row r="1285">
      <c r="A1285" s="1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</row>
    <row r="1286">
      <c r="A1286" s="1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</row>
    <row r="1287">
      <c r="A1287" s="1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</row>
    <row r="1288">
      <c r="A1288" s="1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</row>
    <row r="1289">
      <c r="A1289" s="1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</row>
    <row r="1290">
      <c r="A1290" s="1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</row>
    <row r="1291">
      <c r="A1291" s="1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</row>
    <row r="1292">
      <c r="A1292" s="1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</row>
    <row r="1293">
      <c r="A1293" s="1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</row>
    <row r="1294">
      <c r="A1294" s="1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</row>
    <row r="1295">
      <c r="A1295" s="1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</row>
    <row r="1296">
      <c r="A1296" s="1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</row>
    <row r="1297">
      <c r="A1297" s="1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</row>
    <row r="1298">
      <c r="A1298" s="1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</row>
    <row r="1299">
      <c r="A1299" s="1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</row>
    <row r="1300">
      <c r="A1300" s="1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</row>
    <row r="1301">
      <c r="A1301" s="1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</row>
    <row r="1302">
      <c r="A1302" s="1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</row>
    <row r="1303">
      <c r="A1303" s="1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</row>
    <row r="1304">
      <c r="A1304" s="1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</row>
    <row r="1305">
      <c r="A1305" s="1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</row>
    <row r="1306">
      <c r="A1306" s="1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</row>
    <row r="1307">
      <c r="A1307" s="1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</row>
    <row r="1308">
      <c r="A1308" s="1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</row>
    <row r="1309">
      <c r="A1309" s="1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</row>
    <row r="1310">
      <c r="A1310" s="1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</row>
    <row r="1311">
      <c r="A1311" s="1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</row>
    <row r="1312">
      <c r="A1312" s="1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</row>
    <row r="1313">
      <c r="A1313" s="1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</row>
    <row r="1314">
      <c r="A1314" s="1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</row>
    <row r="1315">
      <c r="A1315" s="1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</row>
    <row r="1316">
      <c r="A1316" s="1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</row>
    <row r="1317">
      <c r="A1317" s="1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</row>
    <row r="1318">
      <c r="A1318" s="1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</row>
    <row r="1319">
      <c r="A1319" s="1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</row>
    <row r="1320">
      <c r="A1320" s="1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</row>
    <row r="1321">
      <c r="A1321" s="1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</row>
    <row r="1322">
      <c r="A1322" s="1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</row>
    <row r="1323">
      <c r="A1323" s="1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</row>
    <row r="1324">
      <c r="A1324" s="1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</row>
    <row r="1325">
      <c r="A1325" s="1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</row>
    <row r="1326">
      <c r="A1326" s="1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</row>
    <row r="1327">
      <c r="A1327" s="1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</row>
    <row r="1328">
      <c r="A1328" s="1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</row>
    <row r="1329">
      <c r="A1329" s="1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</row>
    <row r="1330">
      <c r="A1330" s="1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</row>
    <row r="1331">
      <c r="A1331" s="1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</row>
    <row r="1332">
      <c r="A1332" s="1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</row>
    <row r="1333">
      <c r="A1333" s="1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</row>
    <row r="1334">
      <c r="A1334" s="1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</row>
    <row r="1335">
      <c r="A1335" s="1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</row>
    <row r="1336">
      <c r="A1336" s="1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</row>
    <row r="1337">
      <c r="A1337" s="1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</row>
    <row r="1338">
      <c r="A1338" s="1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</row>
    <row r="1339">
      <c r="A1339" s="1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</row>
    <row r="1340">
      <c r="A1340" s="1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</row>
    <row r="1341">
      <c r="A1341" s="1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</row>
    <row r="1342">
      <c r="A1342" s="1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</row>
    <row r="1343">
      <c r="A1343" s="1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</row>
    <row r="1344">
      <c r="A1344" s="1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</row>
    <row r="1345">
      <c r="A1345" s="1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</row>
    <row r="1346">
      <c r="A1346" s="1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</row>
    <row r="1347">
      <c r="A1347" s="1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</row>
    <row r="1348">
      <c r="A1348" s="1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</row>
    <row r="1349">
      <c r="A1349" s="1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</row>
    <row r="1350">
      <c r="A1350" s="1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</row>
    <row r="1351">
      <c r="A1351" s="1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</row>
    <row r="1352">
      <c r="A1352" s="1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</row>
    <row r="1353">
      <c r="A1353" s="1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</row>
    <row r="1354">
      <c r="A1354" s="1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</row>
    <row r="1355">
      <c r="A1355" s="1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</row>
    <row r="1356">
      <c r="A1356" s="1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</row>
    <row r="1357">
      <c r="A1357" s="1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</row>
    <row r="1358">
      <c r="A1358" s="1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</row>
    <row r="1359">
      <c r="A1359" s="1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</row>
    <row r="1360">
      <c r="A1360" s="1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</row>
    <row r="1361">
      <c r="A1361" s="1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</row>
    <row r="1362">
      <c r="A1362" s="1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</row>
    <row r="1363">
      <c r="A1363" s="1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</row>
    <row r="1364">
      <c r="A1364" s="1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</row>
    <row r="1365">
      <c r="A1365" s="1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</row>
    <row r="1366">
      <c r="A1366" s="1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</row>
    <row r="1367">
      <c r="A1367" s="1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</row>
    <row r="1368">
      <c r="A1368" s="1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</row>
    <row r="1369">
      <c r="A1369" s="1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</row>
    <row r="1370">
      <c r="A1370" s="1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</row>
    <row r="1371">
      <c r="A1371" s="1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</row>
    <row r="1372">
      <c r="A1372" s="1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</row>
    <row r="1373">
      <c r="A1373" s="1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</row>
    <row r="1374">
      <c r="A1374" s="1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</row>
    <row r="1375">
      <c r="A1375" s="1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</row>
    <row r="1376">
      <c r="A1376" s="1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</row>
    <row r="1377">
      <c r="A1377" s="1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</row>
    <row r="1378">
      <c r="A1378" s="1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</row>
    <row r="1379">
      <c r="A1379" s="1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</row>
    <row r="1380">
      <c r="A1380" s="1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</row>
    <row r="1381">
      <c r="A1381" s="1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</row>
    <row r="1382">
      <c r="A1382" s="1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</row>
    <row r="1383">
      <c r="A1383" s="1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</row>
    <row r="1384">
      <c r="A1384" s="1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</row>
    <row r="1385">
      <c r="A1385" s="1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</row>
    <row r="1386">
      <c r="A1386" s="1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</row>
    <row r="1387">
      <c r="A1387" s="1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</row>
    <row r="1388">
      <c r="A1388" s="1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</row>
    <row r="1389">
      <c r="A1389" s="1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</row>
    <row r="1390">
      <c r="A1390" s="1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</row>
    <row r="1391">
      <c r="A1391" s="1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</row>
    <row r="1392">
      <c r="A1392" s="1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</row>
    <row r="1393">
      <c r="A1393" s="1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</row>
    <row r="1394">
      <c r="A1394" s="1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</row>
    <row r="1395">
      <c r="A1395" s="1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</row>
    <row r="1396">
      <c r="A1396" s="1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</row>
    <row r="1397">
      <c r="A1397" s="1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</row>
    <row r="1398">
      <c r="A1398" s="1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</row>
    <row r="1399">
      <c r="A1399" s="1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</row>
    <row r="1400">
      <c r="A1400" s="1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</row>
    <row r="1401">
      <c r="A1401" s="1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</row>
    <row r="1402">
      <c r="A1402" s="1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</row>
    <row r="1403">
      <c r="A1403" s="1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</row>
    <row r="1404">
      <c r="A1404" s="1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</row>
    <row r="1405">
      <c r="A1405" s="1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</row>
    <row r="1406">
      <c r="A1406" s="1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</row>
    <row r="1407">
      <c r="A1407" s="1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</row>
    <row r="1408">
      <c r="A1408" s="1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</row>
    <row r="1409">
      <c r="A1409" s="1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</row>
    <row r="1410">
      <c r="A1410" s="1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</row>
    <row r="1411">
      <c r="A1411" s="1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</row>
    <row r="1412">
      <c r="A1412" s="1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</row>
    <row r="1413">
      <c r="A1413" s="1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</row>
    <row r="1414">
      <c r="A1414" s="1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</row>
    <row r="1415">
      <c r="A1415" s="1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</row>
    <row r="1416">
      <c r="A1416" s="1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</row>
    <row r="1417">
      <c r="A1417" s="1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</row>
    <row r="1418">
      <c r="A1418" s="1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</row>
    <row r="1419">
      <c r="A1419" s="1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</row>
    <row r="1420">
      <c r="A1420" s="1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</row>
    <row r="1421">
      <c r="A1421" s="1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</row>
    <row r="1422">
      <c r="A1422" s="1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</row>
    <row r="1423">
      <c r="A1423" s="1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</row>
    <row r="1424">
      <c r="A1424" s="1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</row>
    <row r="1425">
      <c r="A1425" s="1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</row>
    <row r="1426">
      <c r="A1426" s="1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</row>
    <row r="1427">
      <c r="A1427" s="1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</row>
    <row r="1428">
      <c r="A1428" s="1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</row>
    <row r="1429">
      <c r="A1429" s="1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</row>
    <row r="1430">
      <c r="A1430" s="1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</row>
    <row r="1431">
      <c r="A1431" s="1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</row>
    <row r="1432">
      <c r="A1432" s="1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</row>
    <row r="1433">
      <c r="A1433" s="1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</row>
    <row r="1434">
      <c r="A1434" s="1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</row>
    <row r="1435">
      <c r="A1435" s="1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</row>
    <row r="1436">
      <c r="A1436" s="1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</row>
    <row r="1437">
      <c r="A1437" s="1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</row>
    <row r="1438">
      <c r="A1438" s="1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</row>
    <row r="1439">
      <c r="A1439" s="1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</row>
    <row r="1440">
      <c r="A1440" s="1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</row>
    <row r="1441">
      <c r="A1441" s="1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</row>
    <row r="1442">
      <c r="A1442" s="1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</row>
    <row r="1443">
      <c r="A1443" s="1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</row>
    <row r="1444">
      <c r="A1444" s="1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</row>
    <row r="1445">
      <c r="A1445" s="1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</row>
    <row r="1446">
      <c r="A1446" s="1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</row>
    <row r="1447">
      <c r="A1447" s="1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</row>
    <row r="1448">
      <c r="A1448" s="1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</row>
    <row r="1449">
      <c r="A1449" s="1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</row>
    <row r="1450">
      <c r="A1450" s="1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</row>
    <row r="1451">
      <c r="A1451" s="1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</row>
    <row r="1452">
      <c r="A1452" s="1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</row>
    <row r="1453">
      <c r="A1453" s="1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</row>
    <row r="1454">
      <c r="A1454" s="1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</row>
    <row r="1455">
      <c r="A1455" s="1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</row>
    <row r="1456">
      <c r="A1456" s="1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</row>
    <row r="1457">
      <c r="A1457" s="1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</row>
    <row r="1458">
      <c r="A1458" s="1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</row>
    <row r="1459">
      <c r="A1459" s="1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</row>
    <row r="1460">
      <c r="A1460" s="1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</row>
    <row r="1461">
      <c r="A1461" s="1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</row>
    <row r="1462">
      <c r="A1462" s="1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</row>
    <row r="1463">
      <c r="A1463" s="1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</row>
    <row r="1464">
      <c r="A1464" s="1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</row>
    <row r="1465">
      <c r="A1465" s="1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</row>
    <row r="1466">
      <c r="A1466" s="1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</row>
    <row r="1467">
      <c r="A1467" s="1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</row>
    <row r="1468">
      <c r="A1468" s="1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</row>
    <row r="1469">
      <c r="A1469" s="1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</row>
    <row r="1470">
      <c r="A1470" s="1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</row>
    <row r="1471">
      <c r="A1471" s="1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</row>
    <row r="1472">
      <c r="A1472" s="1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</row>
    <row r="1473">
      <c r="A1473" s="1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</row>
    <row r="1474">
      <c r="A1474" s="1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</row>
    <row r="1475">
      <c r="A1475" s="1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</row>
    <row r="1476">
      <c r="A1476" s="1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</row>
    <row r="1477">
      <c r="A1477" s="1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</row>
    <row r="1478">
      <c r="A1478" s="1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</row>
    <row r="1479">
      <c r="A1479" s="1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</row>
    <row r="1480">
      <c r="A1480" s="1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</row>
    <row r="1481">
      <c r="A1481" s="1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</row>
    <row r="1482">
      <c r="A1482" s="1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</row>
    <row r="1483">
      <c r="A1483" s="1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</row>
    <row r="1484">
      <c r="A1484" s="1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</row>
    <row r="1485">
      <c r="A1485" s="1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</row>
    <row r="1486">
      <c r="A1486" s="1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</row>
    <row r="1487">
      <c r="A1487" s="1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</row>
    <row r="1488">
      <c r="A1488" s="1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</row>
    <row r="1489">
      <c r="A1489" s="1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</row>
    <row r="1490">
      <c r="A1490" s="1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</row>
    <row r="1491">
      <c r="A1491" s="1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</row>
    <row r="1492">
      <c r="A1492" s="1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</row>
    <row r="1493">
      <c r="A1493" s="1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</row>
    <row r="1494">
      <c r="A1494" s="1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</row>
    <row r="1495">
      <c r="A1495" s="1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</row>
    <row r="1496">
      <c r="A1496" s="1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</row>
    <row r="1497">
      <c r="A1497" s="1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</row>
    <row r="1498">
      <c r="A1498" s="1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</row>
    <row r="1499">
      <c r="A1499" s="1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</row>
    <row r="1500">
      <c r="A1500" s="1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</row>
    <row r="1501">
      <c r="A1501" s="1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</row>
    <row r="1502">
      <c r="A1502" s="1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</row>
    <row r="1503">
      <c r="A1503" s="1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</row>
    <row r="1504">
      <c r="A1504" s="1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</row>
    <row r="1505">
      <c r="A1505" s="1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</row>
    <row r="1506">
      <c r="A1506" s="1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</row>
    <row r="1507">
      <c r="A1507" s="1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</row>
    <row r="1508">
      <c r="A1508" s="1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</row>
    <row r="1509">
      <c r="A1509" s="1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</row>
    <row r="1510">
      <c r="A1510" s="1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</row>
    <row r="1511">
      <c r="A1511" s="1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</row>
    <row r="1512">
      <c r="A1512" s="1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</row>
    <row r="1513">
      <c r="A1513" s="1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</row>
    <row r="1514">
      <c r="A1514" s="1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</row>
    <row r="1515">
      <c r="A1515" s="1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</row>
    <row r="1516">
      <c r="A1516" s="1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</row>
    <row r="1517">
      <c r="A1517" s="1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</row>
    <row r="1518">
      <c r="A1518" s="1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</row>
    <row r="1519">
      <c r="A1519" s="1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</row>
    <row r="1520">
      <c r="A1520" s="1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</row>
    <row r="1521">
      <c r="A1521" s="1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</row>
    <row r="1522">
      <c r="A1522" s="1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</row>
    <row r="1523">
      <c r="A1523" s="1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</row>
    <row r="1524">
      <c r="A1524" s="1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</row>
    <row r="1525">
      <c r="A1525" s="1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</row>
    <row r="1526">
      <c r="A1526" s="1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</row>
    <row r="1527">
      <c r="A1527" s="1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</row>
    <row r="1528">
      <c r="A1528" s="1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</row>
    <row r="1529">
      <c r="A1529" s="1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</row>
    <row r="1530">
      <c r="A1530" s="1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</row>
    <row r="1531">
      <c r="A1531" s="1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</row>
    <row r="1532">
      <c r="A1532" s="1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</row>
    <row r="1533">
      <c r="A1533" s="1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</row>
    <row r="1534">
      <c r="A1534" s="1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</row>
    <row r="1535">
      <c r="A1535" s="1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</row>
    <row r="1536">
      <c r="A1536" s="1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</row>
    <row r="1537">
      <c r="A1537" s="1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</row>
    <row r="1538">
      <c r="A1538" s="1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</row>
    <row r="1539">
      <c r="A1539" s="1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</row>
    <row r="1540">
      <c r="A1540" s="1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</row>
    <row r="1541">
      <c r="A1541" s="1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</row>
    <row r="1542">
      <c r="A1542" s="1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</row>
    <row r="1543">
      <c r="A1543" s="1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</row>
    <row r="1544">
      <c r="A1544" s="1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</row>
    <row r="1545">
      <c r="A1545" s="1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</row>
    <row r="1546">
      <c r="A1546" s="1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</row>
    <row r="1547">
      <c r="A1547" s="1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</row>
    <row r="1548">
      <c r="A1548" s="1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</row>
    <row r="1549">
      <c r="A1549" s="1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</row>
    <row r="1550">
      <c r="A1550" s="1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</row>
    <row r="1551">
      <c r="A1551" s="1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</row>
    <row r="1552">
      <c r="A1552" s="1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</row>
    <row r="1553">
      <c r="A1553" s="1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</row>
    <row r="1554">
      <c r="A1554" s="1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</row>
    <row r="1555">
      <c r="A1555" s="1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</row>
    <row r="1556">
      <c r="A1556" s="1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</row>
    <row r="1557">
      <c r="A1557" s="1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</row>
    <row r="1558">
      <c r="A1558" s="1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</row>
    <row r="1559">
      <c r="A1559" s="1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</row>
    <row r="1560">
      <c r="A1560" s="1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</row>
    <row r="1561">
      <c r="A1561" s="1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</row>
    <row r="1562">
      <c r="A1562" s="1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</row>
    <row r="1563">
      <c r="A1563" s="1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</row>
    <row r="1564">
      <c r="A1564" s="1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</row>
    <row r="1565">
      <c r="A1565" s="1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</row>
    <row r="1566">
      <c r="A1566" s="1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</row>
    <row r="1567">
      <c r="A1567" s="1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</row>
    <row r="1568">
      <c r="A1568" s="1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</row>
    <row r="1569">
      <c r="A1569" s="1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</row>
    <row r="1570">
      <c r="A1570" s="1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</row>
    <row r="1571">
      <c r="A1571" s="1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</row>
    <row r="1572">
      <c r="A1572" s="1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</row>
    <row r="1573">
      <c r="A1573" s="1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</row>
    <row r="1574">
      <c r="A1574" s="1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</row>
    <row r="1575">
      <c r="A1575" s="1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>
      <c r="A1576" s="1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</row>
    <row r="1577">
      <c r="A1577" s="1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</row>
    <row r="1578">
      <c r="A1578" s="1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</row>
    <row r="1579">
      <c r="A1579" s="1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</row>
    <row r="1580">
      <c r="A1580" s="1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</row>
    <row r="1581">
      <c r="A1581" s="1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</row>
    <row r="1582">
      <c r="A1582" s="1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</row>
    <row r="1583">
      <c r="A1583" s="1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</row>
    <row r="1584">
      <c r="A1584" s="1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</row>
    <row r="1585">
      <c r="A1585" s="1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</row>
    <row r="1586">
      <c r="A1586" s="1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</row>
    <row r="1587">
      <c r="A1587" s="1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</row>
    <row r="1588">
      <c r="A1588" s="1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</row>
    <row r="1589">
      <c r="A1589" s="1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</row>
    <row r="1590">
      <c r="A1590" s="1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</row>
    <row r="1591">
      <c r="A1591" s="1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</row>
    <row r="1592">
      <c r="A1592" s="1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</row>
    <row r="1593">
      <c r="A1593" s="1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</row>
    <row r="1594">
      <c r="A1594" s="1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</row>
    <row r="1595">
      <c r="A1595" s="1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</row>
    <row r="1596">
      <c r="A1596" s="1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</row>
    <row r="1597">
      <c r="A1597" s="1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</row>
    <row r="1598">
      <c r="A1598" s="1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</row>
    <row r="1599">
      <c r="A1599" s="1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</row>
    <row r="1600">
      <c r="A1600" s="1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</row>
    <row r="1601">
      <c r="A1601" s="1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</row>
    <row r="1602">
      <c r="A1602" s="1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</row>
    <row r="1603">
      <c r="A1603" s="1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</row>
    <row r="1604">
      <c r="A1604" s="1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</row>
    <row r="1605">
      <c r="A1605" s="1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</row>
    <row r="1606">
      <c r="A1606" s="1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</row>
    <row r="1607">
      <c r="A1607" s="1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</row>
    <row r="1608">
      <c r="A1608" s="1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</row>
    <row r="1609">
      <c r="A1609" s="1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</row>
    <row r="1610">
      <c r="A1610" s="1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</row>
    <row r="1611">
      <c r="A1611" s="1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</row>
    <row r="1612">
      <c r="A1612" s="1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</row>
    <row r="1613">
      <c r="A1613" s="1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</row>
    <row r="1614">
      <c r="A1614" s="1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</row>
    <row r="1615">
      <c r="A1615" s="1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</row>
    <row r="1616">
      <c r="A1616" s="1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</row>
    <row r="1617">
      <c r="A1617" s="1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</row>
    <row r="1618">
      <c r="A1618" s="1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</row>
    <row r="1619">
      <c r="A1619" s="1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</row>
    <row r="1620">
      <c r="A1620" s="1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</row>
    <row r="1621">
      <c r="A1621" s="1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</row>
    <row r="1622">
      <c r="A1622" s="1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</row>
    <row r="1623">
      <c r="A1623" s="1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</row>
    <row r="1624">
      <c r="A1624" s="1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</row>
    <row r="1625">
      <c r="A1625" s="1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</row>
    <row r="1626">
      <c r="A1626" s="1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</row>
    <row r="1627">
      <c r="A1627" s="1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</row>
    <row r="1628">
      <c r="A1628" s="1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</row>
    <row r="1629">
      <c r="A1629" s="1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</row>
    <row r="1630">
      <c r="A1630" s="1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</row>
    <row r="1631">
      <c r="A1631" s="1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</row>
    <row r="1632">
      <c r="A1632" s="1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</row>
    <row r="1633">
      <c r="A1633" s="1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</row>
    <row r="1634">
      <c r="A1634" s="1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</row>
    <row r="1635">
      <c r="A1635" s="1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</row>
    <row r="1636">
      <c r="A1636" s="1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</row>
    <row r="1637">
      <c r="A1637" s="1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</row>
    <row r="1638">
      <c r="A1638" s="1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</row>
    <row r="1639">
      <c r="A1639" s="1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</row>
    <row r="1640">
      <c r="A1640" s="1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</row>
    <row r="1641">
      <c r="A1641" s="1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</row>
    <row r="1642">
      <c r="A1642" s="1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</row>
    <row r="1643">
      <c r="A1643" s="1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</row>
    <row r="1644">
      <c r="A1644" s="1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</row>
    <row r="1645">
      <c r="A1645" s="1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</row>
    <row r="1646">
      <c r="A1646" s="1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</row>
    <row r="1647">
      <c r="A1647" s="1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</row>
    <row r="1648">
      <c r="A1648" s="1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</row>
    <row r="1649">
      <c r="A1649" s="1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</row>
    <row r="1650">
      <c r="A1650" s="1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</row>
    <row r="1651">
      <c r="A1651" s="1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</row>
    <row r="1652">
      <c r="A1652" s="1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</row>
    <row r="1653">
      <c r="A1653" s="1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</row>
    <row r="1654">
      <c r="A1654" s="1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</row>
    <row r="1655">
      <c r="A1655" s="1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</row>
    <row r="1656">
      <c r="A1656" s="1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</row>
    <row r="1657">
      <c r="A1657" s="1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</row>
    <row r="1658">
      <c r="A1658" s="1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</row>
    <row r="1659">
      <c r="A1659" s="1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</row>
    <row r="1660">
      <c r="A1660" s="1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</row>
    <row r="1661">
      <c r="A1661" s="1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</row>
    <row r="1662">
      <c r="A1662" s="1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</row>
    <row r="1663">
      <c r="A1663" s="1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</row>
    <row r="1664">
      <c r="A1664" s="1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</row>
    <row r="1665">
      <c r="A1665" s="1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</row>
    <row r="1666">
      <c r="A1666" s="1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</row>
    <row r="1667">
      <c r="A1667" s="1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</row>
    <row r="1668">
      <c r="A1668" s="1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</row>
    <row r="1669">
      <c r="A1669" s="1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</row>
    <row r="1670">
      <c r="A1670" s="1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</row>
    <row r="1671">
      <c r="A1671" s="1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</row>
    <row r="1672">
      <c r="A1672" s="1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</row>
    <row r="1673">
      <c r="A1673" s="1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>
      <c r="A1674" s="1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</row>
    <row r="1675">
      <c r="A1675" s="1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</row>
    <row r="1676">
      <c r="A1676" s="1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</row>
    <row r="1677">
      <c r="A1677" s="1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</row>
    <row r="1678">
      <c r="A1678" s="1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</row>
    <row r="1679">
      <c r="A1679" s="1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</row>
    <row r="1680">
      <c r="A1680" s="1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</row>
    <row r="1681">
      <c r="A1681" s="1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</row>
    <row r="1682">
      <c r="A1682" s="1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</row>
    <row r="1683">
      <c r="A1683" s="1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</row>
    <row r="1684">
      <c r="A1684" s="1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</row>
    <row r="1685">
      <c r="A1685" s="1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</row>
    <row r="1686">
      <c r="A1686" s="1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</row>
    <row r="1687">
      <c r="A1687" s="1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</row>
    <row r="1688">
      <c r="A1688" s="1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</row>
    <row r="1689">
      <c r="A1689" s="1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</row>
    <row r="1690">
      <c r="A1690" s="1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</row>
    <row r="1691">
      <c r="A1691" s="1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</row>
    <row r="1692">
      <c r="A1692" s="1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</row>
    <row r="1693">
      <c r="A1693" s="1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</row>
    <row r="1694">
      <c r="A1694" s="1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</row>
    <row r="1695">
      <c r="A1695" s="1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</row>
    <row r="1696">
      <c r="A1696" s="1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</row>
    <row r="1697">
      <c r="A1697" s="1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</row>
    <row r="1698">
      <c r="A1698" s="1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</row>
    <row r="1699">
      <c r="A1699" s="1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</row>
    <row r="1700">
      <c r="A1700" s="1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</row>
    <row r="1701">
      <c r="A1701" s="1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</row>
    <row r="1702">
      <c r="A1702" s="1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</row>
    <row r="1703">
      <c r="A1703" s="1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</row>
    <row r="1704">
      <c r="A1704" s="1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</row>
    <row r="1705">
      <c r="A1705" s="1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</row>
    <row r="1706">
      <c r="A1706" s="1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</row>
    <row r="1707">
      <c r="A1707" s="1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</row>
    <row r="1708">
      <c r="A1708" s="1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</row>
    <row r="1709">
      <c r="A1709" s="1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</row>
    <row r="1710">
      <c r="A1710" s="1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</row>
    <row r="1711">
      <c r="A1711" s="1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</row>
    <row r="1712">
      <c r="A1712" s="1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</row>
    <row r="1713">
      <c r="A1713" s="1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</row>
    <row r="1714">
      <c r="A1714" s="1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</row>
    <row r="1715">
      <c r="A1715" s="1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</row>
    <row r="1716">
      <c r="A1716" s="1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</row>
    <row r="1717">
      <c r="A1717" s="1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</row>
    <row r="1718">
      <c r="A1718" s="1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</row>
    <row r="1719">
      <c r="A1719" s="1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</row>
    <row r="1720">
      <c r="A1720" s="1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</row>
    <row r="1721">
      <c r="A1721" s="1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</row>
    <row r="1722">
      <c r="A1722" s="1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</row>
    <row r="1723">
      <c r="A1723" s="1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</row>
    <row r="1724">
      <c r="A1724" s="1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</row>
    <row r="1725">
      <c r="A1725" s="1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</row>
    <row r="1726">
      <c r="A1726" s="1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</row>
    <row r="1727">
      <c r="A1727" s="1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</row>
    <row r="1728">
      <c r="A1728" s="1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</row>
    <row r="1729">
      <c r="A1729" s="1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</row>
    <row r="1730">
      <c r="A1730" s="1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</row>
    <row r="1731">
      <c r="A1731" s="1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</row>
    <row r="1732">
      <c r="A1732" s="1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</row>
    <row r="1733">
      <c r="A1733" s="1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</row>
    <row r="1734">
      <c r="A1734" s="1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</row>
    <row r="1735">
      <c r="A1735" s="1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</row>
    <row r="1736">
      <c r="A1736" s="1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</row>
    <row r="1737">
      <c r="A1737" s="1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</row>
    <row r="1738">
      <c r="A1738" s="1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</row>
    <row r="1739">
      <c r="A1739" s="1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</row>
    <row r="1740">
      <c r="A1740" s="1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</row>
    <row r="1741">
      <c r="A1741" s="1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</row>
    <row r="1742">
      <c r="A1742" s="1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</row>
    <row r="1743">
      <c r="A1743" s="1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</row>
    <row r="1744">
      <c r="A1744" s="1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</row>
    <row r="1745">
      <c r="A1745" s="1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</row>
    <row r="1746">
      <c r="A1746" s="1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</row>
    <row r="1747">
      <c r="A1747" s="1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</row>
    <row r="1748">
      <c r="A1748" s="1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</row>
    <row r="1749">
      <c r="A1749" s="1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</row>
    <row r="1750">
      <c r="A1750" s="1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</row>
    <row r="1751">
      <c r="A1751" s="1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</row>
    <row r="1752">
      <c r="A1752" s="1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</row>
    <row r="1753">
      <c r="A1753" s="1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</row>
    <row r="1754">
      <c r="A1754" s="1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</row>
    <row r="1755">
      <c r="A1755" s="1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</row>
    <row r="1756">
      <c r="A1756" s="1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</row>
    <row r="1757">
      <c r="A1757" s="1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</row>
    <row r="1758">
      <c r="A1758" s="1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</row>
    <row r="1759">
      <c r="A1759" s="1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</row>
    <row r="1760">
      <c r="A1760" s="1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</row>
    <row r="1761">
      <c r="A1761" s="1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</row>
    <row r="1762">
      <c r="A1762" s="1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</row>
    <row r="1763">
      <c r="A1763" s="1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</row>
    <row r="1764">
      <c r="A1764" s="1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</row>
    <row r="1765">
      <c r="A1765" s="1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</row>
    <row r="1766">
      <c r="A1766" s="1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</row>
    <row r="1767">
      <c r="A1767" s="1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</row>
    <row r="1768">
      <c r="A1768" s="1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</row>
    <row r="1769">
      <c r="A1769" s="1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</row>
    <row r="1770">
      <c r="A1770" s="1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</row>
    <row r="1771">
      <c r="A1771" s="1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</row>
    <row r="1772">
      <c r="A1772" s="1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</row>
    <row r="1773">
      <c r="A1773" s="1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</row>
    <row r="1774">
      <c r="A1774" s="1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</row>
    <row r="1775">
      <c r="A1775" s="1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</row>
    <row r="1776">
      <c r="A1776" s="1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</row>
    <row r="1777">
      <c r="A1777" s="1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</row>
    <row r="1778">
      <c r="A1778" s="1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</row>
    <row r="1779">
      <c r="A1779" s="1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</row>
    <row r="1780">
      <c r="A1780" s="1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</row>
    <row r="1781">
      <c r="A1781" s="1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</row>
    <row r="1782">
      <c r="A1782" s="1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</row>
    <row r="1783">
      <c r="A1783" s="1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</row>
    <row r="1784">
      <c r="A1784" s="1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</row>
    <row r="1785">
      <c r="A1785" s="1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</row>
    <row r="1786">
      <c r="A1786" s="1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</row>
    <row r="1787">
      <c r="A1787" s="1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</row>
    <row r="1788">
      <c r="A1788" s="1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</row>
    <row r="1789">
      <c r="A1789" s="1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</row>
    <row r="1790">
      <c r="A1790" s="1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</row>
    <row r="1791">
      <c r="A1791" s="1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</row>
    <row r="1792">
      <c r="A1792" s="1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</row>
    <row r="1793">
      <c r="A1793" s="1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</row>
    <row r="1794">
      <c r="A1794" s="1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</row>
    <row r="1795">
      <c r="A1795" s="1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</row>
    <row r="1796">
      <c r="A1796" s="1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</row>
    <row r="1797">
      <c r="A1797" s="1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</row>
    <row r="1798">
      <c r="A1798" s="1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</row>
    <row r="1799">
      <c r="A1799" s="1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</row>
    <row r="1800">
      <c r="A1800" s="1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</row>
    <row r="1801">
      <c r="A1801" s="1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</row>
    <row r="1802">
      <c r="A1802" s="1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</row>
    <row r="1803">
      <c r="A1803" s="1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</row>
    <row r="1804">
      <c r="A1804" s="1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</row>
    <row r="1805">
      <c r="A1805" s="1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</row>
    <row r="1806">
      <c r="A1806" s="1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</row>
    <row r="1807">
      <c r="A1807" s="1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</row>
    <row r="1808">
      <c r="A1808" s="1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</row>
    <row r="1809">
      <c r="A1809" s="1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</row>
    <row r="1810">
      <c r="A1810" s="1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</row>
    <row r="1811">
      <c r="A1811" s="1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</row>
    <row r="1812">
      <c r="A1812" s="1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</row>
    <row r="1813">
      <c r="A1813" s="1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</row>
    <row r="1814">
      <c r="A1814" s="1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</row>
    <row r="1815">
      <c r="A1815" s="1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</row>
    <row r="1816">
      <c r="A1816" s="1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</row>
    <row r="1817">
      <c r="A1817" s="1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</row>
    <row r="1818">
      <c r="A1818" s="1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</row>
    <row r="1819">
      <c r="A1819" s="1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</row>
    <row r="1820">
      <c r="A1820" s="1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</row>
    <row r="1821">
      <c r="A1821" s="1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</row>
    <row r="1822">
      <c r="A1822" s="1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</row>
    <row r="1823">
      <c r="A1823" s="1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</row>
    <row r="1824">
      <c r="A1824" s="1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</row>
    <row r="1825">
      <c r="A1825" s="1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</row>
    <row r="1826">
      <c r="A1826" s="1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</row>
    <row r="1827">
      <c r="A1827" s="1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</row>
    <row r="1828">
      <c r="A1828" s="1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</row>
    <row r="1829">
      <c r="A1829" s="1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</row>
    <row r="1830">
      <c r="A1830" s="1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</row>
    <row r="1831">
      <c r="A1831" s="1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</row>
    <row r="1832">
      <c r="A1832" s="1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</row>
    <row r="1833">
      <c r="A1833" s="1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</row>
    <row r="1834">
      <c r="A1834" s="1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</row>
    <row r="1835">
      <c r="A1835" s="1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</row>
    <row r="1836">
      <c r="A1836" s="1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</row>
    <row r="1837">
      <c r="A1837" s="1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</row>
    <row r="1838">
      <c r="A1838" s="1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</row>
    <row r="1839">
      <c r="A1839" s="1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</row>
    <row r="1840">
      <c r="A1840" s="1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</row>
    <row r="1841">
      <c r="A1841" s="1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</row>
    <row r="1842">
      <c r="A1842" s="1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</row>
    <row r="1843">
      <c r="A1843" s="1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</row>
    <row r="1844">
      <c r="A1844" s="1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</row>
    <row r="1845">
      <c r="A1845" s="1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</row>
    <row r="1846">
      <c r="A1846" s="1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</row>
    <row r="1847">
      <c r="A1847" s="1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</row>
    <row r="1848">
      <c r="A1848" s="1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</row>
    <row r="1849">
      <c r="A1849" s="1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</row>
    <row r="1850">
      <c r="A1850" s="1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</row>
    <row r="1851">
      <c r="A1851" s="1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</row>
    <row r="1852">
      <c r="A1852" s="1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</row>
    <row r="1853">
      <c r="A1853" s="1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</row>
    <row r="1854">
      <c r="A1854" s="1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</row>
    <row r="1855">
      <c r="A1855" s="1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</row>
    <row r="1856">
      <c r="A1856" s="1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</row>
    <row r="1857">
      <c r="A1857" s="1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</row>
    <row r="1858">
      <c r="A1858" s="1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</row>
    <row r="1859">
      <c r="A1859" s="1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</row>
    <row r="1860">
      <c r="A1860" s="1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</row>
    <row r="1861">
      <c r="A1861" s="1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</row>
    <row r="1862">
      <c r="A1862" s="1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</row>
    <row r="1863">
      <c r="A1863" s="1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</row>
    <row r="1864">
      <c r="A1864" s="1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</row>
    <row r="1865">
      <c r="A1865" s="1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</row>
    <row r="1866">
      <c r="A1866" s="1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</row>
    <row r="1867">
      <c r="A1867" s="1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</row>
    <row r="1868">
      <c r="A1868" s="1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</row>
    <row r="1869">
      <c r="A1869" s="1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</row>
    <row r="1870">
      <c r="A1870" s="1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</row>
    <row r="1871">
      <c r="A1871" s="1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</row>
    <row r="1872">
      <c r="A1872" s="1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</row>
    <row r="1873">
      <c r="A1873" s="1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</row>
    <row r="1874">
      <c r="A1874" s="1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</row>
    <row r="1875">
      <c r="A1875" s="1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</row>
    <row r="1876">
      <c r="A1876" s="1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</row>
    <row r="1877">
      <c r="A1877" s="1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</row>
    <row r="1878">
      <c r="A1878" s="1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</row>
    <row r="1879">
      <c r="A1879" s="1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</row>
    <row r="1880">
      <c r="A1880" s="1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</row>
    <row r="1881">
      <c r="A1881" s="1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</row>
    <row r="1882">
      <c r="A1882" s="1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</row>
    <row r="1883">
      <c r="A1883" s="1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</row>
    <row r="1884">
      <c r="A1884" s="1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</row>
    <row r="1885">
      <c r="A1885" s="1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</row>
    <row r="1886">
      <c r="A1886" s="1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</row>
    <row r="1887">
      <c r="A1887" s="1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</row>
    <row r="1888">
      <c r="A1888" s="1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</row>
    <row r="1889">
      <c r="A1889" s="1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</row>
    <row r="1890">
      <c r="A1890" s="1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</row>
    <row r="1891">
      <c r="A1891" s="1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</row>
    <row r="1892">
      <c r="A1892" s="1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</row>
    <row r="1893">
      <c r="A1893" s="1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</row>
    <row r="1894">
      <c r="A1894" s="1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</row>
    <row r="1895">
      <c r="A1895" s="1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</row>
    <row r="1896">
      <c r="A1896" s="1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</row>
    <row r="1897">
      <c r="A1897" s="1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</row>
    <row r="1898">
      <c r="A1898" s="1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</row>
    <row r="1899">
      <c r="A1899" s="1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</row>
    <row r="1900">
      <c r="A1900" s="1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</row>
    <row r="1901">
      <c r="A1901" s="1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</row>
    <row r="1902">
      <c r="A1902" s="1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</row>
    <row r="1903">
      <c r="A1903" s="1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</row>
    <row r="1904">
      <c r="A1904" s="1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</row>
    <row r="1905">
      <c r="A1905" s="1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</row>
    <row r="1906">
      <c r="A1906" s="1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</row>
    <row r="1907">
      <c r="A1907" s="1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</row>
    <row r="1908">
      <c r="A1908" s="1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</row>
    <row r="1909">
      <c r="A1909" s="1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</row>
    <row r="1910">
      <c r="A1910" s="1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</row>
    <row r="1911">
      <c r="A1911" s="1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</row>
    <row r="1912">
      <c r="A1912" s="1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</row>
    <row r="1913">
      <c r="A1913" s="1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</row>
    <row r="1914">
      <c r="A1914" s="1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</row>
    <row r="1915">
      <c r="A1915" s="1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</row>
    <row r="1916">
      <c r="A1916" s="1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</row>
    <row r="1917">
      <c r="A1917" s="1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</row>
    <row r="1918">
      <c r="A1918" s="1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</row>
    <row r="1919">
      <c r="A1919" s="1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</row>
    <row r="1920">
      <c r="A1920" s="1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</row>
    <row r="1921">
      <c r="A1921" s="1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</row>
    <row r="1922">
      <c r="A1922" s="1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</row>
    <row r="1923">
      <c r="A1923" s="1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</row>
    <row r="1924">
      <c r="A1924" s="1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</row>
    <row r="1925">
      <c r="A1925" s="1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</row>
    <row r="1926">
      <c r="A1926" s="1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</row>
    <row r="1927">
      <c r="A1927" s="1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</row>
    <row r="1928">
      <c r="A1928" s="1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</row>
    <row r="1929">
      <c r="A1929" s="1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</row>
    <row r="1930">
      <c r="A1930" s="1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</row>
    <row r="1931">
      <c r="A1931" s="1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</row>
    <row r="1932">
      <c r="A1932" s="1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</row>
    <row r="1933">
      <c r="A1933" s="1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</row>
    <row r="1934">
      <c r="A1934" s="1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</row>
    <row r="1935">
      <c r="A1935" s="1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</row>
    <row r="1936">
      <c r="A1936" s="1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</row>
    <row r="1937">
      <c r="A1937" s="1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</row>
    <row r="1938">
      <c r="A1938" s="1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</row>
    <row r="1939">
      <c r="A1939" s="1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</row>
    <row r="1940">
      <c r="A1940" s="1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</row>
    <row r="1941">
      <c r="A1941" s="1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</row>
    <row r="1942">
      <c r="A1942" s="1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</row>
    <row r="1943">
      <c r="A1943" s="1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</row>
    <row r="1944">
      <c r="A1944" s="1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</row>
    <row r="1945">
      <c r="A1945" s="1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</row>
    <row r="1946">
      <c r="A1946" s="1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</row>
    <row r="1947">
      <c r="A1947" s="1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</row>
    <row r="1948">
      <c r="A1948" s="1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</row>
    <row r="1949">
      <c r="A1949" s="1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</row>
    <row r="1950">
      <c r="A1950" s="1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</row>
    <row r="1951">
      <c r="A1951" s="1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</row>
    <row r="1952">
      <c r="A1952" s="1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</row>
    <row r="1953">
      <c r="A1953" s="1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</row>
    <row r="1954">
      <c r="A1954" s="1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</row>
    <row r="1955">
      <c r="A1955" s="1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</row>
    <row r="1956">
      <c r="A1956" s="1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</row>
    <row r="1957">
      <c r="A1957" s="1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</row>
    <row r="1958">
      <c r="A1958" s="1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</row>
    <row r="1959">
      <c r="A1959" s="1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</row>
    <row r="1960">
      <c r="A1960" s="1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</row>
    <row r="1961">
      <c r="A1961" s="1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</row>
    <row r="1962">
      <c r="A1962" s="1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</row>
    <row r="1963">
      <c r="A1963" s="1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</row>
    <row r="1964">
      <c r="A1964" s="1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</row>
    <row r="1965">
      <c r="A1965" s="1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</row>
    <row r="1966">
      <c r="A1966" s="1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</row>
    <row r="1967">
      <c r="A1967" s="1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</row>
    <row r="1968">
      <c r="A1968" s="1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</row>
    <row r="1969">
      <c r="A1969" s="1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</row>
    <row r="1970">
      <c r="A1970" s="1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</row>
    <row r="1971">
      <c r="A1971" s="1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</row>
    <row r="1972">
      <c r="A1972" s="1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</row>
    <row r="1973">
      <c r="A1973" s="1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</row>
    <row r="1974">
      <c r="A1974" s="1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</row>
    <row r="1975">
      <c r="A1975" s="1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</row>
    <row r="1976">
      <c r="A1976" s="1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</row>
    <row r="1977">
      <c r="A1977" s="1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</row>
    <row r="1978">
      <c r="A1978" s="1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</row>
    <row r="1979">
      <c r="A1979" s="1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</row>
    <row r="1980">
      <c r="A1980" s="1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</row>
    <row r="1981">
      <c r="A1981" s="1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</row>
    <row r="1982">
      <c r="A1982" s="1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</row>
    <row r="1983">
      <c r="A1983" s="1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</row>
    <row r="1984">
      <c r="A1984" s="1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</row>
    <row r="1985">
      <c r="A1985" s="1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</row>
    <row r="1986">
      <c r="A1986" s="1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</row>
    <row r="1987">
      <c r="A1987" s="1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</row>
    <row r="1988">
      <c r="A1988" s="1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</row>
    <row r="1989">
      <c r="A1989" s="1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</row>
    <row r="1990">
      <c r="A1990" s="1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</row>
    <row r="1991">
      <c r="A1991" s="1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</row>
    <row r="1992">
      <c r="A1992" s="1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</row>
    <row r="1993">
      <c r="A1993" s="1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</row>
    <row r="1994">
      <c r="A1994" s="1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</row>
    <row r="1995">
      <c r="A1995" s="1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</row>
    <row r="1996">
      <c r="A1996" s="1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</row>
    <row r="1997">
      <c r="A1997" s="1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</row>
    <row r="1998">
      <c r="A1998" s="1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</row>
    <row r="1999">
      <c r="A1999" s="1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</row>
    <row r="2000">
      <c r="A2000" s="1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</row>
  </sheetData>
  <conditionalFormatting sqref="H2:H2000">
    <cfRule type="expression" dxfId="2" priority="1" stopIfTrue="1">
      <formula>AND($H2&lt;&gt;"",COUNTIF($H$2:$H2000,$H2)&gt;1)</formula>
    </cfRule>
  </conditionalFormatting>
  <conditionalFormatting sqref="D2:D2000">
    <cfRule type="expression" dxfId="2" priority="2" stopIfTrue="1">
      <formula>AND($D2&lt;&gt;"",COUNTIF($D$2:$D2000,$D2)&gt;1)</formula>
    </cfRule>
  </conditionalFormatting>
  <conditionalFormatting sqref="A2:W2000">
    <cfRule type="expression" dxfId="4" priority="3" stopIfTrue="1">
      <formula>AND($A2&lt;&gt;"",ISEVEN(ROW()))</formula>
    </cfRule>
  </conditionalFormatting>
  <dataValidations>
    <dataValidation type="list" allowBlank="1" sqref="C2:C2000">
      <formula1>Divisions!$A$2:$A$174</formula1>
    </dataValidation>
    <dataValidation type="list" allowBlank="1" sqref="K2:K2000">
      <formula1>"Đồng ý"</formula1>
    </dataValidation>
    <dataValidation type="list" allowBlank="1" sqref="F2:F2000">
      <formula1>"AYA,AYB,AYC"</formula1>
    </dataValidation>
    <dataValidation type="list" allowBlank="1" sqref="L2:L2000">
      <formula1>"Chờ nộp tiền,Đã khai nộp - chờ đối soát,Đã xác nhận,Từ chối,Hủy"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9.5"/>
    <col customWidth="1" min="4" max="4" width="23.88"/>
    <col customWidth="1" min="5" max="7" width="15.75"/>
    <col customWidth="1" min="8" max="8" width="23.88"/>
    <col customWidth="1" min="9" max="9" width="11.38"/>
    <col customWidth="1" min="10" max="11" width="15.13"/>
  </cols>
  <sheetData>
    <row r="1">
      <c r="A1" s="3" t="s">
        <v>2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9</v>
      </c>
      <c r="H1" s="3" t="s">
        <v>11</v>
      </c>
      <c r="I1" s="3" t="s">
        <v>20</v>
      </c>
      <c r="J1" s="3" t="s">
        <v>21</v>
      </c>
      <c r="K1" s="3" t="s">
        <v>22</v>
      </c>
    </row>
    <row r="2">
      <c r="A2" s="5" t="s">
        <v>23</v>
      </c>
      <c r="B2" s="6">
        <v>1.0</v>
      </c>
      <c r="C2" s="7" t="s">
        <v>37</v>
      </c>
      <c r="D2" s="5" t="s">
        <v>41</v>
      </c>
      <c r="E2" s="9" t="str">
        <f t="shared" ref="E2:E91" si="1">IF(F2=0,"Còn trống",IF(F2=1,"Đã đăng ký","Trùng đăng ký"))</f>
        <v>Còn trống</v>
      </c>
      <c r="F2" s="9">
        <f>COUNTIFS(Registrations!$H$2:$H100,$C2,Registrations!$L$2:$L100,"&lt;&gt;Hủy",Registrations!$L$2:$L100,"&lt;&gt;Từ chối")</f>
        <v>0</v>
      </c>
      <c r="G2" s="9" t="str">
        <f>IFERROR(__xludf.DUMMYFUNCTION("IFERROR(INDEX(FILTER(Registrations!$D$2:$D100,Registrations!$H$2:$H100=$C2,Registrations!$L$2:$L100&lt;&gt;""Hủy"",Registrations!$L$2:$L100&lt;&gt;""Từ chối""),1),"""")"),"")</f>
        <v/>
      </c>
      <c r="H2" s="9" t="str">
        <f>IFERROR(__xludf.DUMMYFUNCTION("IFERROR(INDEX(FILTER(Registrations!$E$2:$E100,Registrations!$H$2:$H100=$C2,Registrations!$L$2:$L100&lt;&gt;""Hủy"",Registrations!$L$2:$L100&lt;&gt;""Từ chối""),1),"""")"),"")</f>
        <v/>
      </c>
      <c r="I2" s="9" t="str">
        <f>IFERROR(__xludf.DUMMYFUNCTION("IF(F2=0,"""",IF(IFERROR(INDEX(FILTER(Registrations!$F$2:$F100,Registrations!$H$2:$H100=$C2,Registrations!$L$2:$L100&lt;&gt;""Hủy"",Registrations!$L$2:$L100&lt;&gt;""Từ chối""),1),"""")=$A2,""Khớp"",""Sai kho""))"),"")</f>
        <v/>
      </c>
      <c r="J2" s="5" t="s">
        <v>60</v>
      </c>
      <c r="K2" s="15">
        <v>5085000.0</v>
      </c>
    </row>
    <row r="3">
      <c r="A3" s="5" t="s">
        <v>23</v>
      </c>
      <c r="B3" s="6">
        <v>2.0</v>
      </c>
      <c r="C3" s="7" t="s">
        <v>61</v>
      </c>
      <c r="D3" s="5" t="s">
        <v>62</v>
      </c>
      <c r="E3" s="9" t="str">
        <f t="shared" si="1"/>
        <v>Còn trống</v>
      </c>
      <c r="F3" s="9">
        <f>COUNTIFS(Registrations!$H$2:$H100,$C3,Registrations!$L$2:$L100,"&lt;&gt;Hủy",Registrations!$L$2:$L100,"&lt;&gt;Từ chối")</f>
        <v>0</v>
      </c>
      <c r="G3" s="9" t="str">
        <f>IFERROR(__xludf.DUMMYFUNCTION("IFERROR(INDEX(FILTER(Registrations!$D$2:$D100,Registrations!$H$2:$H100=$C3,Registrations!$L$2:$L100&lt;&gt;""Hủy"",Registrations!$L$2:$L100&lt;&gt;""Từ chối""),1),"""")"),"")</f>
        <v/>
      </c>
      <c r="H3" s="9" t="str">
        <f>IFERROR(__xludf.DUMMYFUNCTION("IFERROR(INDEX(FILTER(Registrations!$E$2:$E100,Registrations!$H$2:$H100=$C3,Registrations!$L$2:$L100&lt;&gt;""Hủy"",Registrations!$L$2:$L100&lt;&gt;""Từ chối""),1),"""")"),"")</f>
        <v/>
      </c>
      <c r="I3" s="9" t="str">
        <f>IFERROR(__xludf.DUMMYFUNCTION("IF(F3=0,"""",IF(IFERROR(INDEX(FILTER(Registrations!$F$2:$F100,Registrations!$H$2:$H100=$C3,Registrations!$L$2:$L100&lt;&gt;""Hủy"",Registrations!$L$2:$L100&lt;&gt;""Từ chối""),1),"""")=$A3,""Khớp"",""Sai kho""))"),"")</f>
        <v/>
      </c>
      <c r="J3" s="5" t="s">
        <v>65</v>
      </c>
      <c r="K3" s="15">
        <v>2672500.0</v>
      </c>
    </row>
    <row r="4">
      <c r="A4" s="5" t="s">
        <v>23</v>
      </c>
      <c r="B4" s="6">
        <v>3.0</v>
      </c>
      <c r="C4" s="7" t="s">
        <v>68</v>
      </c>
      <c r="D4" s="5" t="s">
        <v>69</v>
      </c>
      <c r="E4" s="9" t="str">
        <f t="shared" si="1"/>
        <v>Còn trống</v>
      </c>
      <c r="F4" s="9">
        <f>COUNTIFS(Registrations!$H$2:$H100,$C4,Registrations!$L$2:$L100,"&lt;&gt;Hủy",Registrations!$L$2:$L100,"&lt;&gt;Từ chối")</f>
        <v>0</v>
      </c>
      <c r="G4" s="9" t="str">
        <f>IFERROR(__xludf.DUMMYFUNCTION("IFERROR(INDEX(FILTER(Registrations!$D$2:$D100,Registrations!$H$2:$H100=$C4,Registrations!$L$2:$L100&lt;&gt;""Hủy"",Registrations!$L$2:$L100&lt;&gt;""Từ chối""),1),"""")"),"")</f>
        <v/>
      </c>
      <c r="H4" s="9" t="str">
        <f>IFERROR(__xludf.DUMMYFUNCTION("IFERROR(INDEX(FILTER(Registrations!$E$2:$E100,Registrations!$H$2:$H100=$C4,Registrations!$L$2:$L100&lt;&gt;""Hủy"",Registrations!$L$2:$L100&lt;&gt;""Từ chối""),1),"""")"),"")</f>
        <v/>
      </c>
      <c r="I4" s="9" t="str">
        <f>IFERROR(__xludf.DUMMYFUNCTION("IF(F4=0,"""",IF(IFERROR(INDEX(FILTER(Registrations!$F$2:$F100,Registrations!$H$2:$H100=$C4,Registrations!$L$2:$L100&lt;&gt;""Hủy"",Registrations!$L$2:$L100&lt;&gt;""Từ chối""),1),"""")=$A4,""Khớp"",""Sai kho""))"),"")</f>
        <v/>
      </c>
      <c r="J4" s="5" t="s">
        <v>65</v>
      </c>
      <c r="K4" s="15">
        <v>2672500.0</v>
      </c>
    </row>
    <row r="5">
      <c r="A5" s="5" t="s">
        <v>23</v>
      </c>
      <c r="B5" s="6">
        <v>4.0</v>
      </c>
      <c r="C5" s="7" t="s">
        <v>76</v>
      </c>
      <c r="D5" s="5" t="s">
        <v>77</v>
      </c>
      <c r="E5" s="9" t="str">
        <f t="shared" si="1"/>
        <v>Còn trống</v>
      </c>
      <c r="F5" s="9">
        <f>COUNTIFS(Registrations!$H$2:$H100,$C5,Registrations!$L$2:$L100,"&lt;&gt;Hủy",Registrations!$L$2:$L100,"&lt;&gt;Từ chối")</f>
        <v>0</v>
      </c>
      <c r="G5" s="9" t="str">
        <f>IFERROR(__xludf.DUMMYFUNCTION("IFERROR(INDEX(FILTER(Registrations!$D$2:$D100,Registrations!$H$2:$H100=$C5,Registrations!$L$2:$L100&lt;&gt;""Hủy"",Registrations!$L$2:$L100&lt;&gt;""Từ chối""),1),"""")"),"")</f>
        <v/>
      </c>
      <c r="H5" s="9" t="str">
        <f>IFERROR(__xludf.DUMMYFUNCTION("IFERROR(INDEX(FILTER(Registrations!$E$2:$E100,Registrations!$H$2:$H100=$C5,Registrations!$L$2:$L100&lt;&gt;""Hủy"",Registrations!$L$2:$L100&lt;&gt;""Từ chối""),1),"""")"),"")</f>
        <v/>
      </c>
      <c r="I5" s="9" t="str">
        <f>IFERROR(__xludf.DUMMYFUNCTION("IF(F5=0,"""",IF(IFERROR(INDEX(FILTER(Registrations!$F$2:$F100,Registrations!$H$2:$H100=$C5,Registrations!$L$2:$L100&lt;&gt;""Hủy"",Registrations!$L$2:$L100&lt;&gt;""Từ chối""),1),"""")=$A5,""Khớp"",""Sai kho""))"),"")</f>
        <v/>
      </c>
      <c r="J5" s="5" t="s">
        <v>65</v>
      </c>
      <c r="K5" s="15">
        <v>5850000.0</v>
      </c>
    </row>
    <row r="6">
      <c r="A6" s="5" t="s">
        <v>23</v>
      </c>
      <c r="B6" s="6">
        <v>5.0</v>
      </c>
      <c r="C6" s="7" t="s">
        <v>87</v>
      </c>
      <c r="D6" s="5" t="s">
        <v>88</v>
      </c>
      <c r="E6" s="9" t="str">
        <f t="shared" si="1"/>
        <v>Còn trống</v>
      </c>
      <c r="F6" s="9">
        <f>COUNTIFS(Registrations!$H$2:$H100,$C6,Registrations!$L$2:$L100,"&lt;&gt;Hủy",Registrations!$L$2:$L100,"&lt;&gt;Từ chối")</f>
        <v>0</v>
      </c>
      <c r="G6" s="9" t="str">
        <f>IFERROR(__xludf.DUMMYFUNCTION("IFERROR(INDEX(FILTER(Registrations!$D$2:$D100,Registrations!$H$2:$H100=$C6,Registrations!$L$2:$L100&lt;&gt;""Hủy"",Registrations!$L$2:$L100&lt;&gt;""Từ chối""),1),"""")"),"")</f>
        <v/>
      </c>
      <c r="H6" s="9" t="str">
        <f>IFERROR(__xludf.DUMMYFUNCTION("IFERROR(INDEX(FILTER(Registrations!$E$2:$E100,Registrations!$H$2:$H100=$C6,Registrations!$L$2:$L100&lt;&gt;""Hủy"",Registrations!$L$2:$L100&lt;&gt;""Từ chối""),1),"""")"),"")</f>
        <v/>
      </c>
      <c r="I6" s="9" t="str">
        <f>IFERROR(__xludf.DUMMYFUNCTION("IF(F6=0,"""",IF(IFERROR(INDEX(FILTER(Registrations!$F$2:$F100,Registrations!$H$2:$H100=$C6,Registrations!$L$2:$L100&lt;&gt;""Hủy"",Registrations!$L$2:$L100&lt;&gt;""Từ chối""),1),"""")=$A6,""Khớp"",""Sai kho""))"),"")</f>
        <v/>
      </c>
      <c r="J6" s="5" t="s">
        <v>65</v>
      </c>
      <c r="K6" s="15">
        <v>5975000.0</v>
      </c>
    </row>
    <row r="7">
      <c r="A7" s="5" t="s">
        <v>23</v>
      </c>
      <c r="B7" s="6">
        <v>6.0</v>
      </c>
      <c r="C7" s="7" t="s">
        <v>93</v>
      </c>
      <c r="D7" s="5" t="s">
        <v>94</v>
      </c>
      <c r="E7" s="9" t="str">
        <f t="shared" si="1"/>
        <v>Còn trống</v>
      </c>
      <c r="F7" s="9">
        <f>COUNTIFS(Registrations!$H$2:$H100,$C7,Registrations!$L$2:$L100,"&lt;&gt;Hủy",Registrations!$L$2:$L100,"&lt;&gt;Từ chối")</f>
        <v>0</v>
      </c>
      <c r="G7" s="9" t="str">
        <f>IFERROR(__xludf.DUMMYFUNCTION("IFERROR(INDEX(FILTER(Registrations!$D$2:$D100,Registrations!$H$2:$H100=$C7,Registrations!$L$2:$L100&lt;&gt;""Hủy"",Registrations!$L$2:$L100&lt;&gt;""Từ chối""),1),"""")"),"")</f>
        <v/>
      </c>
      <c r="H7" s="9" t="str">
        <f>IFERROR(__xludf.DUMMYFUNCTION("IFERROR(INDEX(FILTER(Registrations!$E$2:$E100,Registrations!$H$2:$H100=$C7,Registrations!$L$2:$L100&lt;&gt;""Hủy"",Registrations!$L$2:$L100&lt;&gt;""Từ chối""),1),"""")"),"")</f>
        <v/>
      </c>
      <c r="I7" s="9" t="str">
        <f>IFERROR(__xludf.DUMMYFUNCTION("IF(F7=0,"""",IF(IFERROR(INDEX(FILTER(Registrations!$F$2:$F100,Registrations!$H$2:$H100=$C7,Registrations!$L$2:$L100&lt;&gt;""Hủy"",Registrations!$L$2:$L100&lt;&gt;""Từ chối""),1),"""")=$A7,""Khớp"",""Sai kho""))"),"")</f>
        <v/>
      </c>
      <c r="J7" s="5" t="s">
        <v>65</v>
      </c>
      <c r="K7" s="15">
        <v>3897500.0</v>
      </c>
    </row>
    <row r="8">
      <c r="A8" s="5" t="s">
        <v>23</v>
      </c>
      <c r="B8" s="6">
        <v>7.0</v>
      </c>
      <c r="C8" s="7" t="s">
        <v>99</v>
      </c>
      <c r="D8" s="5" t="s">
        <v>101</v>
      </c>
      <c r="E8" s="9" t="str">
        <f t="shared" si="1"/>
        <v>Còn trống</v>
      </c>
      <c r="F8" s="9">
        <f>COUNTIFS(Registrations!$H$2:$H100,$C8,Registrations!$L$2:$L100,"&lt;&gt;Hủy",Registrations!$L$2:$L100,"&lt;&gt;Từ chối")</f>
        <v>0</v>
      </c>
      <c r="G8" s="9" t="str">
        <f>IFERROR(__xludf.DUMMYFUNCTION("IFERROR(INDEX(FILTER(Registrations!$D$2:$D100,Registrations!$H$2:$H100=$C8,Registrations!$L$2:$L100&lt;&gt;""Hủy"",Registrations!$L$2:$L100&lt;&gt;""Từ chối""),1),"""")"),"")</f>
        <v/>
      </c>
      <c r="H8" s="9" t="str">
        <f>IFERROR(__xludf.DUMMYFUNCTION("IFERROR(INDEX(FILTER(Registrations!$E$2:$E100,Registrations!$H$2:$H100=$C8,Registrations!$L$2:$L100&lt;&gt;""Hủy"",Registrations!$L$2:$L100&lt;&gt;""Từ chối""),1),"""")"),"")</f>
        <v/>
      </c>
      <c r="I8" s="9" t="str">
        <f>IFERROR(__xludf.DUMMYFUNCTION("IF(F8=0,"""",IF(IFERROR(INDEX(FILTER(Registrations!$F$2:$F100,Registrations!$H$2:$H100=$C8,Registrations!$L$2:$L100&lt;&gt;""Hủy"",Registrations!$L$2:$L100&lt;&gt;""Từ chối""),1),"""")=$A8,""Khớp"",""Sai kho""))"),"")</f>
        <v/>
      </c>
      <c r="J8" s="5" t="s">
        <v>65</v>
      </c>
      <c r="K8" s="15">
        <v>6350000.0</v>
      </c>
    </row>
    <row r="9">
      <c r="A9" s="5" t="s">
        <v>23</v>
      </c>
      <c r="B9" s="6">
        <v>8.0</v>
      </c>
      <c r="C9" s="7" t="s">
        <v>102</v>
      </c>
      <c r="D9" s="5" t="s">
        <v>103</v>
      </c>
      <c r="E9" s="9" t="str">
        <f t="shared" si="1"/>
        <v>Còn trống</v>
      </c>
      <c r="F9" s="9">
        <f>COUNTIFS(Registrations!$H$2:$H100,$C9,Registrations!$L$2:$L100,"&lt;&gt;Hủy",Registrations!$L$2:$L100,"&lt;&gt;Từ chối")</f>
        <v>0</v>
      </c>
      <c r="G9" s="9" t="str">
        <f>IFERROR(__xludf.DUMMYFUNCTION("IFERROR(INDEX(FILTER(Registrations!$D$2:$D100,Registrations!$H$2:$H100=$C9,Registrations!$L$2:$L100&lt;&gt;""Hủy"",Registrations!$L$2:$L100&lt;&gt;""Từ chối""),1),"""")"),"")</f>
        <v/>
      </c>
      <c r="H9" s="9" t="str">
        <f>IFERROR(__xludf.DUMMYFUNCTION("IFERROR(INDEX(FILTER(Registrations!$E$2:$E100,Registrations!$H$2:$H100=$C9,Registrations!$L$2:$L100&lt;&gt;""Hủy"",Registrations!$L$2:$L100&lt;&gt;""Từ chối""),1),"""")"),"")</f>
        <v/>
      </c>
      <c r="I9" s="9" t="str">
        <f>IFERROR(__xludf.DUMMYFUNCTION("IF(F9=0,"""",IF(IFERROR(INDEX(FILTER(Registrations!$F$2:$F100,Registrations!$H$2:$H100=$C9,Registrations!$L$2:$L100&lt;&gt;""Hủy"",Registrations!$L$2:$L100&lt;&gt;""Từ chối""),1),"""")=$A9,""Khớp"",""Sai kho""))"),"")</f>
        <v/>
      </c>
      <c r="J9" s="5" t="s">
        <v>65</v>
      </c>
      <c r="K9" s="15">
        <v>7322500.0</v>
      </c>
    </row>
    <row r="10">
      <c r="A10" s="5" t="s">
        <v>23</v>
      </c>
      <c r="B10" s="6">
        <v>9.0</v>
      </c>
      <c r="C10" s="7" t="s">
        <v>104</v>
      </c>
      <c r="D10" s="5" t="s">
        <v>105</v>
      </c>
      <c r="E10" s="9" t="str">
        <f t="shared" si="1"/>
        <v>Còn trống</v>
      </c>
      <c r="F10" s="9">
        <f>COUNTIFS(Registrations!$H$2:$H100,$C10,Registrations!$L$2:$L100,"&lt;&gt;Hủy",Registrations!$L$2:$L100,"&lt;&gt;Từ chối")</f>
        <v>0</v>
      </c>
      <c r="G10" s="9" t="str">
        <f>IFERROR(__xludf.DUMMYFUNCTION("IFERROR(INDEX(FILTER(Registrations!$D$2:$D100,Registrations!$H$2:$H100=$C10,Registrations!$L$2:$L100&lt;&gt;""Hủy"",Registrations!$L$2:$L100&lt;&gt;""Từ chối""),1),"""")"),"")</f>
        <v/>
      </c>
      <c r="H10" s="9" t="str">
        <f>IFERROR(__xludf.DUMMYFUNCTION("IFERROR(INDEX(FILTER(Registrations!$E$2:$E100,Registrations!$H$2:$H100=$C10,Registrations!$L$2:$L100&lt;&gt;""Hủy"",Registrations!$L$2:$L100&lt;&gt;""Từ chối""),1),"""")"),"")</f>
        <v/>
      </c>
      <c r="I10" s="9" t="str">
        <f>IFERROR(__xludf.DUMMYFUNCTION("IF(F10=0,"""",IF(IFERROR(INDEX(FILTER(Registrations!$F$2:$F100,Registrations!$H$2:$H100=$C10,Registrations!$L$2:$L100&lt;&gt;""Hủy"",Registrations!$L$2:$L100&lt;&gt;""Từ chối""),1),"""")=$A10,""Khớp"",""Sai kho""))"),"")</f>
        <v/>
      </c>
      <c r="J10" s="5" t="s">
        <v>65</v>
      </c>
      <c r="K10" s="15">
        <v>7475000.0</v>
      </c>
    </row>
    <row r="11">
      <c r="A11" s="5" t="s">
        <v>23</v>
      </c>
      <c r="B11" s="6">
        <v>10.0</v>
      </c>
      <c r="C11" s="7" t="s">
        <v>106</v>
      </c>
      <c r="D11" s="5" t="s">
        <v>107</v>
      </c>
      <c r="E11" s="9" t="str">
        <f t="shared" si="1"/>
        <v>Còn trống</v>
      </c>
      <c r="F11" s="9">
        <f>COUNTIFS(Registrations!$H$2:$H100,$C11,Registrations!$L$2:$L100,"&lt;&gt;Hủy",Registrations!$L$2:$L100,"&lt;&gt;Từ chối")</f>
        <v>0</v>
      </c>
      <c r="G11" s="9" t="str">
        <f>IFERROR(__xludf.DUMMYFUNCTION("IFERROR(INDEX(FILTER(Registrations!$D$2:$D100,Registrations!$H$2:$H100=$C11,Registrations!$L$2:$L100&lt;&gt;""Hủy"",Registrations!$L$2:$L100&lt;&gt;""Từ chối""),1),"""")"),"")</f>
        <v/>
      </c>
      <c r="H11" s="9" t="str">
        <f>IFERROR(__xludf.DUMMYFUNCTION("IFERROR(INDEX(FILTER(Registrations!$E$2:$E100,Registrations!$H$2:$H100=$C11,Registrations!$L$2:$L100&lt;&gt;""Hủy"",Registrations!$L$2:$L100&lt;&gt;""Từ chối""),1),"""")"),"")</f>
        <v/>
      </c>
      <c r="I11" s="9" t="str">
        <f>IFERROR(__xludf.DUMMYFUNCTION("IF(F11=0,"""",IF(IFERROR(INDEX(FILTER(Registrations!$F$2:$F100,Registrations!$H$2:$H100=$C11,Registrations!$L$2:$L100&lt;&gt;""Hủy"",Registrations!$L$2:$L100&lt;&gt;""Từ chối""),1),"""")=$A11,""Khớp"",""Sai kho""))"),"")</f>
        <v/>
      </c>
      <c r="J11" s="5" t="s">
        <v>65</v>
      </c>
      <c r="K11" s="15">
        <v>9975000.0</v>
      </c>
    </row>
    <row r="12">
      <c r="A12" s="5" t="s">
        <v>23</v>
      </c>
      <c r="B12" s="6">
        <v>11.0</v>
      </c>
      <c r="C12" s="7" t="s">
        <v>108</v>
      </c>
      <c r="D12" s="5" t="s">
        <v>109</v>
      </c>
      <c r="E12" s="9" t="str">
        <f t="shared" si="1"/>
        <v>Còn trống</v>
      </c>
      <c r="F12" s="9">
        <f>COUNTIFS(Registrations!$H$2:$H100,$C12,Registrations!$L$2:$L100,"&lt;&gt;Hủy",Registrations!$L$2:$L100,"&lt;&gt;Từ chối")</f>
        <v>0</v>
      </c>
      <c r="G12" s="9" t="str">
        <f>IFERROR(__xludf.DUMMYFUNCTION("IFERROR(INDEX(FILTER(Registrations!$D$2:$D100,Registrations!$H$2:$H100=$C12,Registrations!$L$2:$L100&lt;&gt;""Hủy"",Registrations!$L$2:$L100&lt;&gt;""Từ chối""),1),"""")"),"")</f>
        <v/>
      </c>
      <c r="H12" s="9" t="str">
        <f>IFERROR(__xludf.DUMMYFUNCTION("IFERROR(INDEX(FILTER(Registrations!$E$2:$E100,Registrations!$H$2:$H100=$C12,Registrations!$L$2:$L100&lt;&gt;""Hủy"",Registrations!$L$2:$L100&lt;&gt;""Từ chối""),1),"""")"),"")</f>
        <v/>
      </c>
      <c r="I12" s="9" t="str">
        <f>IFERROR(__xludf.DUMMYFUNCTION("IF(F12=0,"""",IF(IFERROR(INDEX(FILTER(Registrations!$F$2:$F100,Registrations!$H$2:$H100=$C12,Registrations!$L$2:$L100&lt;&gt;""Hủy"",Registrations!$L$2:$L100&lt;&gt;""Từ chối""),1),"""")=$A12,""Khớp"",""Sai kho""))"),"")</f>
        <v/>
      </c>
      <c r="J12" s="5" t="s">
        <v>65</v>
      </c>
      <c r="K12" s="15">
        <v>1.0475E7</v>
      </c>
    </row>
    <row r="13">
      <c r="A13" s="5" t="s">
        <v>23</v>
      </c>
      <c r="B13" s="6">
        <v>12.0</v>
      </c>
      <c r="C13" s="7" t="s">
        <v>110</v>
      </c>
      <c r="D13" s="5" t="s">
        <v>111</v>
      </c>
      <c r="E13" s="9" t="str">
        <f t="shared" si="1"/>
        <v>Còn trống</v>
      </c>
      <c r="F13" s="9">
        <f>COUNTIFS(Registrations!$H$2:$H100,$C13,Registrations!$L$2:$L100,"&lt;&gt;Hủy",Registrations!$L$2:$L100,"&lt;&gt;Từ chối")</f>
        <v>0</v>
      </c>
      <c r="G13" s="9" t="str">
        <f>IFERROR(__xludf.DUMMYFUNCTION("IFERROR(INDEX(FILTER(Registrations!$D$2:$D100,Registrations!$H$2:$H100=$C13,Registrations!$L$2:$L100&lt;&gt;""Hủy"",Registrations!$L$2:$L100&lt;&gt;""Từ chối""),1),"""")"),"")</f>
        <v/>
      </c>
      <c r="H13" s="9" t="str">
        <f>IFERROR(__xludf.DUMMYFUNCTION("IFERROR(INDEX(FILTER(Registrations!$E$2:$E100,Registrations!$H$2:$H100=$C13,Registrations!$L$2:$L100&lt;&gt;""Hủy"",Registrations!$L$2:$L100&lt;&gt;""Từ chối""),1),"""")"),"")</f>
        <v/>
      </c>
      <c r="I13" s="9" t="str">
        <f>IFERROR(__xludf.DUMMYFUNCTION("IF(F13=0,"""",IF(IFERROR(INDEX(FILTER(Registrations!$F$2:$F100,Registrations!$H$2:$H100=$C13,Registrations!$L$2:$L100&lt;&gt;""Hủy"",Registrations!$L$2:$L100&lt;&gt;""Từ chối""),1),"""")=$A13,""Khớp"",""Sai kho""))"),"")</f>
        <v/>
      </c>
      <c r="J13" s="5" t="s">
        <v>65</v>
      </c>
      <c r="K13" s="15">
        <v>1.2475E7</v>
      </c>
    </row>
    <row r="14">
      <c r="A14" s="5" t="s">
        <v>23</v>
      </c>
      <c r="B14" s="6">
        <v>13.0</v>
      </c>
      <c r="C14" s="7" t="s">
        <v>112</v>
      </c>
      <c r="D14" s="5" t="s">
        <v>113</v>
      </c>
      <c r="E14" s="9" t="str">
        <f t="shared" si="1"/>
        <v>Còn trống</v>
      </c>
      <c r="F14" s="9">
        <f>COUNTIFS(Registrations!$H$2:$H100,$C14,Registrations!$L$2:$L100,"&lt;&gt;Hủy",Registrations!$L$2:$L100,"&lt;&gt;Từ chối")</f>
        <v>0</v>
      </c>
      <c r="G14" s="9" t="str">
        <f>IFERROR(__xludf.DUMMYFUNCTION("IFERROR(INDEX(FILTER(Registrations!$D$2:$D100,Registrations!$H$2:$H100=$C14,Registrations!$L$2:$L100&lt;&gt;""Hủy"",Registrations!$L$2:$L100&lt;&gt;""Từ chối""),1),"""")"),"")</f>
        <v/>
      </c>
      <c r="H14" s="9" t="str">
        <f>IFERROR(__xludf.DUMMYFUNCTION("IFERROR(INDEX(FILTER(Registrations!$E$2:$E100,Registrations!$H$2:$H100=$C14,Registrations!$L$2:$L100&lt;&gt;""Hủy"",Registrations!$L$2:$L100&lt;&gt;""Từ chối""),1),"""")"),"")</f>
        <v/>
      </c>
      <c r="I14" s="9" t="str">
        <f>IFERROR(__xludf.DUMMYFUNCTION("IF(F14=0,"""",IF(IFERROR(INDEX(FILTER(Registrations!$F$2:$F100,Registrations!$H$2:$H100=$C14,Registrations!$L$2:$L100&lt;&gt;""Hủy"",Registrations!$L$2:$L100&lt;&gt;""Từ chối""),1),"""")=$A14,""Khớp"",""Sai kho""))"),"")</f>
        <v/>
      </c>
      <c r="J14" s="5" t="s">
        <v>65</v>
      </c>
      <c r="K14" s="15">
        <v>1.76225E7</v>
      </c>
    </row>
    <row r="15">
      <c r="A15" s="5" t="s">
        <v>23</v>
      </c>
      <c r="B15" s="6">
        <v>14.0</v>
      </c>
      <c r="C15" s="7" t="s">
        <v>114</v>
      </c>
      <c r="D15" s="5" t="s">
        <v>115</v>
      </c>
      <c r="E15" s="9" t="str">
        <f t="shared" si="1"/>
        <v>Còn trống</v>
      </c>
      <c r="F15" s="9">
        <f>COUNTIFS(Registrations!$H$2:$H100,$C15,Registrations!$L$2:$L100,"&lt;&gt;Hủy",Registrations!$L$2:$L100,"&lt;&gt;Từ chối")</f>
        <v>0</v>
      </c>
      <c r="G15" s="9" t="str">
        <f>IFERROR(__xludf.DUMMYFUNCTION("IFERROR(INDEX(FILTER(Registrations!$D$2:$D100,Registrations!$H$2:$H100=$C15,Registrations!$L$2:$L100&lt;&gt;""Hủy"",Registrations!$L$2:$L100&lt;&gt;""Từ chối""),1),"""")"),"")</f>
        <v/>
      </c>
      <c r="H15" s="9" t="str">
        <f>IFERROR(__xludf.DUMMYFUNCTION("IFERROR(INDEX(FILTER(Registrations!$E$2:$E100,Registrations!$H$2:$H100=$C15,Registrations!$L$2:$L100&lt;&gt;""Hủy"",Registrations!$L$2:$L100&lt;&gt;""Từ chối""),1),"""")"),"")</f>
        <v/>
      </c>
      <c r="I15" s="9" t="str">
        <f>IFERROR(__xludf.DUMMYFUNCTION("IF(F15=0,"""",IF(IFERROR(INDEX(FILTER(Registrations!$F$2:$F100,Registrations!$H$2:$H100=$C15,Registrations!$L$2:$L100&lt;&gt;""Hủy"",Registrations!$L$2:$L100&lt;&gt;""Từ chối""),1),"""")=$A15,""Khớp"",""Sai kho""))"),"")</f>
        <v/>
      </c>
      <c r="J15" s="5" t="s">
        <v>65</v>
      </c>
      <c r="K15" s="15">
        <v>1.3975E7</v>
      </c>
    </row>
    <row r="16">
      <c r="A16" s="5" t="s">
        <v>23</v>
      </c>
      <c r="B16" s="6">
        <v>15.0</v>
      </c>
      <c r="C16" s="7" t="s">
        <v>144</v>
      </c>
      <c r="D16" s="5" t="s">
        <v>146</v>
      </c>
      <c r="E16" s="9" t="str">
        <f t="shared" si="1"/>
        <v>Còn trống</v>
      </c>
      <c r="F16" s="9">
        <f>COUNTIFS(Registrations!$H$2:$H100,$C16,Registrations!$L$2:$L100,"&lt;&gt;Hủy",Registrations!$L$2:$L100,"&lt;&gt;Từ chối")</f>
        <v>0</v>
      </c>
      <c r="G16" s="9" t="str">
        <f>IFERROR(__xludf.DUMMYFUNCTION("IFERROR(INDEX(FILTER(Registrations!$D$2:$D100,Registrations!$H$2:$H100=$C16,Registrations!$L$2:$L100&lt;&gt;""Hủy"",Registrations!$L$2:$L100&lt;&gt;""Từ chối""),1),"""")"),"")</f>
        <v/>
      </c>
      <c r="H16" s="9" t="str">
        <f>IFERROR(__xludf.DUMMYFUNCTION("IFERROR(INDEX(FILTER(Registrations!$E$2:$E100,Registrations!$H$2:$H100=$C16,Registrations!$L$2:$L100&lt;&gt;""Hủy"",Registrations!$L$2:$L100&lt;&gt;""Từ chối""),1),"""")"),"")</f>
        <v/>
      </c>
      <c r="I16" s="9" t="str">
        <f>IFERROR(__xludf.DUMMYFUNCTION("IF(F16=0,"""",IF(IFERROR(INDEX(FILTER(Registrations!$F$2:$F100,Registrations!$H$2:$H100=$C16,Registrations!$L$2:$L100&lt;&gt;""Hủy"",Registrations!$L$2:$L100&lt;&gt;""Từ chối""),1),"""")=$A16,""Khớp"",""Sai kho""))"),"")</f>
        <v/>
      </c>
      <c r="J16" s="5" t="s">
        <v>65</v>
      </c>
      <c r="K16" s="15">
        <v>1.4975E7</v>
      </c>
    </row>
    <row r="17">
      <c r="A17" s="5" t="s">
        <v>23</v>
      </c>
      <c r="B17" s="6">
        <v>16.0</v>
      </c>
      <c r="C17" s="7" t="s">
        <v>196</v>
      </c>
      <c r="D17" s="5" t="s">
        <v>197</v>
      </c>
      <c r="E17" s="9" t="str">
        <f t="shared" si="1"/>
        <v>Còn trống</v>
      </c>
      <c r="F17" s="9">
        <f>COUNTIFS(Registrations!$H$2:$H100,$C17,Registrations!$L$2:$L100,"&lt;&gt;Hủy",Registrations!$L$2:$L100,"&lt;&gt;Từ chối")</f>
        <v>0</v>
      </c>
      <c r="G17" s="9" t="str">
        <f>IFERROR(__xludf.DUMMYFUNCTION("IFERROR(INDEX(FILTER(Registrations!$D$2:$D100,Registrations!$H$2:$H100=$C17,Registrations!$L$2:$L100&lt;&gt;""Hủy"",Registrations!$L$2:$L100&lt;&gt;""Từ chối""),1),"""")"),"")</f>
        <v/>
      </c>
      <c r="H17" s="9" t="str">
        <f>IFERROR(__xludf.DUMMYFUNCTION("IFERROR(INDEX(FILTER(Registrations!$E$2:$E100,Registrations!$H$2:$H100=$C17,Registrations!$L$2:$L100&lt;&gt;""Hủy"",Registrations!$L$2:$L100&lt;&gt;""Từ chối""),1),"""")"),"")</f>
        <v/>
      </c>
      <c r="I17" s="9" t="str">
        <f>IFERROR(__xludf.DUMMYFUNCTION("IF(F17=0,"""",IF(IFERROR(INDEX(FILTER(Registrations!$F$2:$F100,Registrations!$H$2:$H100=$C17,Registrations!$L$2:$L100&lt;&gt;""Hủy"",Registrations!$L$2:$L100&lt;&gt;""Từ chối""),1),"""")=$A17,""Khớp"",""Sai kho""))"),"")</f>
        <v/>
      </c>
      <c r="J17" s="5" t="s">
        <v>65</v>
      </c>
      <c r="K17" s="15">
        <v>1.6475E7</v>
      </c>
    </row>
    <row r="18">
      <c r="A18" s="5" t="s">
        <v>23</v>
      </c>
      <c r="B18" s="6">
        <v>17.0</v>
      </c>
      <c r="C18" s="7" t="s">
        <v>235</v>
      </c>
      <c r="D18" s="5" t="s">
        <v>236</v>
      </c>
      <c r="E18" s="9" t="str">
        <f t="shared" si="1"/>
        <v>Còn trống</v>
      </c>
      <c r="F18" s="9">
        <f>COUNTIFS(Registrations!$H$2:$H100,$C18,Registrations!$L$2:$L100,"&lt;&gt;Hủy",Registrations!$L$2:$L100,"&lt;&gt;Từ chối")</f>
        <v>0</v>
      </c>
      <c r="G18" s="9" t="str">
        <f>IFERROR(__xludf.DUMMYFUNCTION("IFERROR(INDEX(FILTER(Registrations!$D$2:$D100,Registrations!$H$2:$H100=$C18,Registrations!$L$2:$L100&lt;&gt;""Hủy"",Registrations!$L$2:$L100&lt;&gt;""Từ chối""),1),"""")"),"")</f>
        <v/>
      </c>
      <c r="H18" s="9" t="str">
        <f>IFERROR(__xludf.DUMMYFUNCTION("IFERROR(INDEX(FILTER(Registrations!$E$2:$E100,Registrations!$H$2:$H100=$C18,Registrations!$L$2:$L100&lt;&gt;""Hủy"",Registrations!$L$2:$L100&lt;&gt;""Từ chối""),1),"""")"),"")</f>
        <v/>
      </c>
      <c r="I18" s="9" t="str">
        <f>IFERROR(__xludf.DUMMYFUNCTION("IF(F18=0,"""",IF(IFERROR(INDEX(FILTER(Registrations!$F$2:$F100,Registrations!$H$2:$H100=$C18,Registrations!$L$2:$L100&lt;&gt;""Hủy"",Registrations!$L$2:$L100&lt;&gt;""Từ chối""),1),"""")=$A18,""Khớp"",""Sai kho""))"),"")</f>
        <v/>
      </c>
      <c r="J18" s="5" t="s">
        <v>65</v>
      </c>
      <c r="K18" s="15">
        <v>1.7475E7</v>
      </c>
    </row>
    <row r="19">
      <c r="A19" s="5" t="s">
        <v>23</v>
      </c>
      <c r="B19" s="6">
        <v>18.0</v>
      </c>
      <c r="C19" s="7" t="s">
        <v>275</v>
      </c>
      <c r="D19" s="5" t="s">
        <v>277</v>
      </c>
      <c r="E19" s="9" t="str">
        <f t="shared" si="1"/>
        <v>Còn trống</v>
      </c>
      <c r="F19" s="9">
        <f>COUNTIFS(Registrations!$H$2:$H100,$C19,Registrations!$L$2:$L100,"&lt;&gt;Hủy",Registrations!$L$2:$L100,"&lt;&gt;Từ chối")</f>
        <v>0</v>
      </c>
      <c r="G19" s="9" t="str">
        <f>IFERROR(__xludf.DUMMYFUNCTION("IFERROR(INDEX(FILTER(Registrations!$D$2:$D100,Registrations!$H$2:$H100=$C19,Registrations!$L$2:$L100&lt;&gt;""Hủy"",Registrations!$L$2:$L100&lt;&gt;""Từ chối""),1),"""")"),"")</f>
        <v/>
      </c>
      <c r="H19" s="9" t="str">
        <f>IFERROR(__xludf.DUMMYFUNCTION("IFERROR(INDEX(FILTER(Registrations!$E$2:$E100,Registrations!$H$2:$H100=$C19,Registrations!$L$2:$L100&lt;&gt;""Hủy"",Registrations!$L$2:$L100&lt;&gt;""Từ chối""),1),"""")"),"")</f>
        <v/>
      </c>
      <c r="I19" s="9" t="str">
        <f>IFERROR(__xludf.DUMMYFUNCTION("IF(F19=0,"""",IF(IFERROR(INDEX(FILTER(Registrations!$F$2:$F100,Registrations!$H$2:$H100=$C19,Registrations!$L$2:$L100&lt;&gt;""Hủy"",Registrations!$L$2:$L100&lt;&gt;""Từ chối""),1),"""")=$A19,""Khớp"",""Sai kho""))"),"")</f>
        <v/>
      </c>
      <c r="J19" s="5" t="s">
        <v>65</v>
      </c>
      <c r="K19" s="15">
        <v>2.5E7</v>
      </c>
    </row>
    <row r="20">
      <c r="A20" s="5" t="s">
        <v>23</v>
      </c>
      <c r="B20" s="6">
        <v>19.0</v>
      </c>
      <c r="C20" s="7" t="s">
        <v>305</v>
      </c>
      <c r="D20" s="5" t="s">
        <v>306</v>
      </c>
      <c r="E20" s="9" t="str">
        <f t="shared" si="1"/>
        <v>Còn trống</v>
      </c>
      <c r="F20" s="9">
        <f>COUNTIFS(Registrations!$H$2:$H100,$C20,Registrations!$L$2:$L100,"&lt;&gt;Hủy",Registrations!$L$2:$L100,"&lt;&gt;Từ chối")</f>
        <v>0</v>
      </c>
      <c r="G20" s="9" t="str">
        <f>IFERROR(__xludf.DUMMYFUNCTION("IFERROR(INDEX(FILTER(Registrations!$D$2:$D100,Registrations!$H$2:$H100=$C20,Registrations!$L$2:$L100&lt;&gt;""Hủy"",Registrations!$L$2:$L100&lt;&gt;""Từ chối""),1),"""")"),"")</f>
        <v/>
      </c>
      <c r="H20" s="9" t="str">
        <f>IFERROR(__xludf.DUMMYFUNCTION("IFERROR(INDEX(FILTER(Registrations!$E$2:$E100,Registrations!$H$2:$H100=$C20,Registrations!$L$2:$L100&lt;&gt;""Hủy"",Registrations!$L$2:$L100&lt;&gt;""Từ chối""),1),"""")"),"")</f>
        <v/>
      </c>
      <c r="I20" s="9" t="str">
        <f>IFERROR(__xludf.DUMMYFUNCTION("IF(F20=0,"""",IF(IFERROR(INDEX(FILTER(Registrations!$F$2:$F100,Registrations!$H$2:$H100=$C20,Registrations!$L$2:$L100&lt;&gt;""Hủy"",Registrations!$L$2:$L100&lt;&gt;""Từ chối""),1),"""")=$A20,""Khớp"",""Sai kho""))"),"")</f>
        <v/>
      </c>
      <c r="J20" s="5" t="s">
        <v>307</v>
      </c>
      <c r="K20" s="15">
        <v>1.795E7</v>
      </c>
    </row>
    <row r="21">
      <c r="A21" s="5" t="s">
        <v>23</v>
      </c>
      <c r="B21" s="6">
        <v>20.0</v>
      </c>
      <c r="C21" s="7" t="s">
        <v>308</v>
      </c>
      <c r="D21" s="5" t="s">
        <v>309</v>
      </c>
      <c r="E21" s="9" t="str">
        <f t="shared" si="1"/>
        <v>Còn trống</v>
      </c>
      <c r="F21" s="9">
        <f>COUNTIFS(Registrations!$H$2:$H100,$C21,Registrations!$L$2:$L100,"&lt;&gt;Hủy",Registrations!$L$2:$L100,"&lt;&gt;Từ chối")</f>
        <v>0</v>
      </c>
      <c r="G21" s="9" t="str">
        <f>IFERROR(__xludf.DUMMYFUNCTION("IFERROR(INDEX(FILTER(Registrations!$D$2:$D100,Registrations!$H$2:$H100=$C21,Registrations!$L$2:$L100&lt;&gt;""Hủy"",Registrations!$L$2:$L100&lt;&gt;""Từ chối""),1),"""")"),"")</f>
        <v/>
      </c>
      <c r="H21" s="9" t="str">
        <f>IFERROR(__xludf.DUMMYFUNCTION("IFERROR(INDEX(FILTER(Registrations!$E$2:$E100,Registrations!$H$2:$H100=$C21,Registrations!$L$2:$L100&lt;&gt;""Hủy"",Registrations!$L$2:$L100&lt;&gt;""Từ chối""),1),"""")"),"")</f>
        <v/>
      </c>
      <c r="I21" s="9" t="str">
        <f>IFERROR(__xludf.DUMMYFUNCTION("IF(F21=0,"""",IF(IFERROR(INDEX(FILTER(Registrations!$F$2:$F100,Registrations!$H$2:$H100=$C21,Registrations!$L$2:$L100&lt;&gt;""Hủy"",Registrations!$L$2:$L100&lt;&gt;""Từ chối""),1),"""")=$A21,""Khớp"",""Sai kho""))"),"")</f>
        <v/>
      </c>
      <c r="J21" s="5" t="s">
        <v>307</v>
      </c>
      <c r="K21" s="15">
        <v>1.345E7</v>
      </c>
    </row>
    <row r="22">
      <c r="A22" s="5" t="s">
        <v>23</v>
      </c>
      <c r="B22" s="6">
        <v>21.0</v>
      </c>
      <c r="C22" s="7" t="s">
        <v>310</v>
      </c>
      <c r="D22" s="5" t="s">
        <v>311</v>
      </c>
      <c r="E22" s="9" t="str">
        <f t="shared" si="1"/>
        <v>Còn trống</v>
      </c>
      <c r="F22" s="9">
        <f>COUNTIFS(Registrations!$H$2:$H100,$C22,Registrations!$L$2:$L100,"&lt;&gt;Hủy",Registrations!$L$2:$L100,"&lt;&gt;Từ chối")</f>
        <v>0</v>
      </c>
      <c r="G22" s="9" t="str">
        <f>IFERROR(__xludf.DUMMYFUNCTION("IFERROR(INDEX(FILTER(Registrations!$D$2:$D100,Registrations!$H$2:$H100=$C22,Registrations!$L$2:$L100&lt;&gt;""Hủy"",Registrations!$L$2:$L100&lt;&gt;""Từ chối""),1),"""")"),"")</f>
        <v/>
      </c>
      <c r="H22" s="9" t="str">
        <f>IFERROR(__xludf.DUMMYFUNCTION("IFERROR(INDEX(FILTER(Registrations!$E$2:$E100,Registrations!$H$2:$H100=$C22,Registrations!$L$2:$L100&lt;&gt;""Hủy"",Registrations!$L$2:$L100&lt;&gt;""Từ chối""),1),"""")"),"")</f>
        <v/>
      </c>
      <c r="I22" s="9" t="str">
        <f>IFERROR(__xludf.DUMMYFUNCTION("IF(F22=0,"""",IF(IFERROR(INDEX(FILTER(Registrations!$F$2:$F100,Registrations!$H$2:$H100=$C22,Registrations!$L$2:$L100&lt;&gt;""Hủy"",Registrations!$L$2:$L100&lt;&gt;""Từ chối""),1),"""")=$A22,""Khớp"",""Sai kho""))"),"")</f>
        <v/>
      </c>
      <c r="J22" s="5" t="s">
        <v>307</v>
      </c>
      <c r="K22" s="15">
        <v>8450000.0</v>
      </c>
    </row>
    <row r="23">
      <c r="A23" s="5" t="s">
        <v>23</v>
      </c>
      <c r="B23" s="6">
        <v>22.0</v>
      </c>
      <c r="C23" s="7" t="s">
        <v>313</v>
      </c>
      <c r="D23" s="5" t="s">
        <v>314</v>
      </c>
      <c r="E23" s="9" t="str">
        <f t="shared" si="1"/>
        <v>Còn trống</v>
      </c>
      <c r="F23" s="9">
        <f>COUNTIFS(Registrations!$H$2:$H100,$C23,Registrations!$L$2:$L100,"&lt;&gt;Hủy",Registrations!$L$2:$L100,"&lt;&gt;Từ chối")</f>
        <v>0</v>
      </c>
      <c r="G23" s="9" t="str">
        <f>IFERROR(__xludf.DUMMYFUNCTION("IFERROR(INDEX(FILTER(Registrations!$D$2:$D100,Registrations!$H$2:$H100=$C23,Registrations!$L$2:$L100&lt;&gt;""Hủy"",Registrations!$L$2:$L100&lt;&gt;""Từ chối""),1),"""")"),"")</f>
        <v/>
      </c>
      <c r="H23" s="9" t="str">
        <f>IFERROR(__xludf.DUMMYFUNCTION("IFERROR(INDEX(FILTER(Registrations!$E$2:$E100,Registrations!$H$2:$H100=$C23,Registrations!$L$2:$L100&lt;&gt;""Hủy"",Registrations!$L$2:$L100&lt;&gt;""Từ chối""),1),"""")"),"")</f>
        <v/>
      </c>
      <c r="I23" s="9" t="str">
        <f>IFERROR(__xludf.DUMMYFUNCTION("IF(F23=0,"""",IF(IFERROR(INDEX(FILTER(Registrations!$F$2:$F100,Registrations!$H$2:$H100=$C23,Registrations!$L$2:$L100&lt;&gt;""Hủy"",Registrations!$L$2:$L100&lt;&gt;""Từ chối""),1),"""")=$A23,""Khớp"",""Sai kho""))"),"")</f>
        <v/>
      </c>
      <c r="J23" s="5" t="s">
        <v>307</v>
      </c>
      <c r="K23" s="15">
        <v>9450000.0</v>
      </c>
    </row>
    <row r="24">
      <c r="A24" s="5" t="s">
        <v>23</v>
      </c>
      <c r="B24" s="6">
        <v>23.0</v>
      </c>
      <c r="C24" s="7" t="s">
        <v>331</v>
      </c>
      <c r="D24" s="5" t="s">
        <v>332</v>
      </c>
      <c r="E24" s="9" t="str">
        <f t="shared" si="1"/>
        <v>Còn trống</v>
      </c>
      <c r="F24" s="9">
        <f>COUNTIFS(Registrations!$H$2:$H100,$C24,Registrations!$L$2:$L100,"&lt;&gt;Hủy",Registrations!$L$2:$L100,"&lt;&gt;Từ chối")</f>
        <v>0</v>
      </c>
      <c r="G24" s="9" t="str">
        <f>IFERROR(__xludf.DUMMYFUNCTION("IFERROR(INDEX(FILTER(Registrations!$D$2:$D100,Registrations!$H$2:$H100=$C24,Registrations!$L$2:$L100&lt;&gt;""Hủy"",Registrations!$L$2:$L100&lt;&gt;""Từ chối""),1),"""")"),"")</f>
        <v/>
      </c>
      <c r="H24" s="9" t="str">
        <f>IFERROR(__xludf.DUMMYFUNCTION("IFERROR(INDEX(FILTER(Registrations!$E$2:$E100,Registrations!$H$2:$H100=$C24,Registrations!$L$2:$L100&lt;&gt;""Hủy"",Registrations!$L$2:$L100&lt;&gt;""Từ chối""),1),"""")"),"")</f>
        <v/>
      </c>
      <c r="I24" s="9" t="str">
        <f>IFERROR(__xludf.DUMMYFUNCTION("IF(F24=0,"""",IF(IFERROR(INDEX(FILTER(Registrations!$F$2:$F100,Registrations!$H$2:$H100=$C24,Registrations!$L$2:$L100&lt;&gt;""Hủy"",Registrations!$L$2:$L100&lt;&gt;""Từ chối""),1),"""")=$A24,""Khớp"",""Sai kho""))"),"")</f>
        <v/>
      </c>
      <c r="J24" s="5" t="s">
        <v>307</v>
      </c>
      <c r="K24" s="15">
        <v>6950000.0</v>
      </c>
    </row>
    <row r="25">
      <c r="A25" s="5" t="s">
        <v>23</v>
      </c>
      <c r="B25" s="6">
        <v>24.0</v>
      </c>
      <c r="C25" s="7" t="s">
        <v>351</v>
      </c>
      <c r="D25" s="5" t="s">
        <v>352</v>
      </c>
      <c r="E25" s="9" t="str">
        <f t="shared" si="1"/>
        <v>Còn trống</v>
      </c>
      <c r="F25" s="9">
        <f>COUNTIFS(Registrations!$H$2:$H100,$C25,Registrations!$L$2:$L100,"&lt;&gt;Hủy",Registrations!$L$2:$L100,"&lt;&gt;Từ chối")</f>
        <v>0</v>
      </c>
      <c r="G25" s="9" t="str">
        <f>IFERROR(__xludf.DUMMYFUNCTION("IFERROR(INDEX(FILTER(Registrations!$D$2:$D100,Registrations!$H$2:$H100=$C25,Registrations!$L$2:$L100&lt;&gt;""Hủy"",Registrations!$L$2:$L100&lt;&gt;""Từ chối""),1),"""")"),"")</f>
        <v/>
      </c>
      <c r="H25" s="9" t="str">
        <f>IFERROR(__xludf.DUMMYFUNCTION("IFERROR(INDEX(FILTER(Registrations!$E$2:$E100,Registrations!$H$2:$H100=$C25,Registrations!$L$2:$L100&lt;&gt;""Hủy"",Registrations!$L$2:$L100&lt;&gt;""Từ chối""),1),"""")"),"")</f>
        <v/>
      </c>
      <c r="I25" s="9" t="str">
        <f>IFERROR(__xludf.DUMMYFUNCTION("IF(F25=0,"""",IF(IFERROR(INDEX(FILTER(Registrations!$F$2:$F100,Registrations!$H$2:$H100=$C25,Registrations!$L$2:$L100&lt;&gt;""Hủy"",Registrations!$L$2:$L100&lt;&gt;""Từ chối""),1),"""")=$A25,""Khớp"",""Sai kho""))"),"")</f>
        <v/>
      </c>
      <c r="J25" s="5" t="s">
        <v>307</v>
      </c>
      <c r="K25" s="15">
        <v>1.745E7</v>
      </c>
    </row>
    <row r="26">
      <c r="A26" s="5" t="s">
        <v>35</v>
      </c>
      <c r="B26" s="6">
        <v>25.0</v>
      </c>
      <c r="C26" s="7" t="s">
        <v>353</v>
      </c>
      <c r="D26" s="5" t="s">
        <v>354</v>
      </c>
      <c r="E26" s="9" t="str">
        <f t="shared" si="1"/>
        <v>Còn trống</v>
      </c>
      <c r="F26" s="9">
        <f>COUNTIFS(Registrations!$H$2:$H100,$C26,Registrations!$L$2:$L100,"&lt;&gt;Hủy",Registrations!$L$2:$L100,"&lt;&gt;Từ chối")</f>
        <v>0</v>
      </c>
      <c r="G26" s="9" t="str">
        <f>IFERROR(__xludf.DUMMYFUNCTION("IFERROR(INDEX(FILTER(Registrations!$D$2:$D100,Registrations!$H$2:$H100=$C26,Registrations!$L$2:$L100&lt;&gt;""Hủy"",Registrations!$L$2:$L100&lt;&gt;""Từ chối""),1),"""")"),"")</f>
        <v/>
      </c>
      <c r="H26" s="9" t="str">
        <f>IFERROR(__xludf.DUMMYFUNCTION("IFERROR(INDEX(FILTER(Registrations!$E$2:$E100,Registrations!$H$2:$H100=$C26,Registrations!$L$2:$L100&lt;&gt;""Hủy"",Registrations!$L$2:$L100&lt;&gt;""Từ chối""),1),"""")"),"")</f>
        <v/>
      </c>
      <c r="I26" s="9" t="str">
        <f>IFERROR(__xludf.DUMMYFUNCTION("IF(F26=0,"""",IF(IFERROR(INDEX(FILTER(Registrations!$F$2:$F100,Registrations!$H$2:$H100=$C26,Registrations!$L$2:$L100&lt;&gt;""Hủy"",Registrations!$L$2:$L100&lt;&gt;""Từ chối""),1),"""")=$A26,""Khớp"",""Sai kho""))"),"")</f>
        <v/>
      </c>
      <c r="J26" s="5" t="s">
        <v>65</v>
      </c>
      <c r="K26" s="15">
        <v>2.2475E7</v>
      </c>
    </row>
    <row r="27">
      <c r="A27" s="5" t="s">
        <v>35</v>
      </c>
      <c r="B27" s="6">
        <v>26.0</v>
      </c>
      <c r="C27" s="7" t="s">
        <v>375</v>
      </c>
      <c r="D27" s="5" t="s">
        <v>41</v>
      </c>
      <c r="E27" s="9" t="str">
        <f t="shared" si="1"/>
        <v>Còn trống</v>
      </c>
      <c r="F27" s="9">
        <f>COUNTIFS(Registrations!$H$2:$H100,$C27,Registrations!$L$2:$L100,"&lt;&gt;Hủy",Registrations!$L$2:$L100,"&lt;&gt;Từ chối")</f>
        <v>0</v>
      </c>
      <c r="G27" s="9" t="str">
        <f>IFERROR(__xludf.DUMMYFUNCTION("IFERROR(INDEX(FILTER(Registrations!$D$2:$D100,Registrations!$H$2:$H100=$C27,Registrations!$L$2:$L100&lt;&gt;""Hủy"",Registrations!$L$2:$L100&lt;&gt;""Từ chối""),1),"""")"),"")</f>
        <v/>
      </c>
      <c r="H27" s="9" t="str">
        <f>IFERROR(__xludf.DUMMYFUNCTION("IFERROR(INDEX(FILTER(Registrations!$E$2:$E100,Registrations!$H$2:$H100=$C27,Registrations!$L$2:$L100&lt;&gt;""Hủy"",Registrations!$L$2:$L100&lt;&gt;""Từ chối""),1),"""")"),"")</f>
        <v/>
      </c>
      <c r="I27" s="9" t="str">
        <f>IFERROR(__xludf.DUMMYFUNCTION("IF(F27=0,"""",IF(IFERROR(INDEX(FILTER(Registrations!$F$2:$F100,Registrations!$H$2:$H100=$C27,Registrations!$L$2:$L100&lt;&gt;""Hủy"",Registrations!$L$2:$L100&lt;&gt;""Từ chối""),1),"""")=$A27,""Khớp"",""Sai kho""))"),"")</f>
        <v/>
      </c>
      <c r="J27" s="5" t="s">
        <v>65</v>
      </c>
      <c r="K27" s="15">
        <v>5085000.0</v>
      </c>
    </row>
    <row r="28">
      <c r="A28" s="5" t="s">
        <v>35</v>
      </c>
      <c r="B28" s="6">
        <v>27.0</v>
      </c>
      <c r="C28" s="7" t="s">
        <v>399</v>
      </c>
      <c r="D28" s="5" t="s">
        <v>41</v>
      </c>
      <c r="E28" s="9" t="str">
        <f t="shared" si="1"/>
        <v>Còn trống</v>
      </c>
      <c r="F28" s="9">
        <f>COUNTIFS(Registrations!$H$2:$H100,$C28,Registrations!$L$2:$L100,"&lt;&gt;Hủy",Registrations!$L$2:$L100,"&lt;&gt;Từ chối")</f>
        <v>0</v>
      </c>
      <c r="G28" s="9" t="str">
        <f>IFERROR(__xludf.DUMMYFUNCTION("IFERROR(INDEX(FILTER(Registrations!$D$2:$D100,Registrations!$H$2:$H100=$C28,Registrations!$L$2:$L100&lt;&gt;""Hủy"",Registrations!$L$2:$L100&lt;&gt;""Từ chối""),1),"""")"),"")</f>
        <v/>
      </c>
      <c r="H28" s="9" t="str">
        <f>IFERROR(__xludf.DUMMYFUNCTION("IFERROR(INDEX(FILTER(Registrations!$E$2:$E100,Registrations!$H$2:$H100=$C28,Registrations!$L$2:$L100&lt;&gt;""Hủy"",Registrations!$L$2:$L100&lt;&gt;""Từ chối""),1),"""")"),"")</f>
        <v/>
      </c>
      <c r="I28" s="9" t="str">
        <f>IFERROR(__xludf.DUMMYFUNCTION("IF(F28=0,"""",IF(IFERROR(INDEX(FILTER(Registrations!$F$2:$F100,Registrations!$H$2:$H100=$C28,Registrations!$L$2:$L100&lt;&gt;""Hủy"",Registrations!$L$2:$L100&lt;&gt;""Từ chối""),1),"""")=$A28,""Khớp"",""Sai kho""))"),"")</f>
        <v/>
      </c>
      <c r="J28" s="5" t="s">
        <v>65</v>
      </c>
      <c r="K28" s="15">
        <v>5085000.0</v>
      </c>
    </row>
    <row r="29">
      <c r="A29" s="5" t="s">
        <v>35</v>
      </c>
      <c r="B29" s="6">
        <v>28.0</v>
      </c>
      <c r="C29" s="7" t="s">
        <v>418</v>
      </c>
      <c r="D29" s="5" t="s">
        <v>41</v>
      </c>
      <c r="E29" s="9" t="str">
        <f t="shared" si="1"/>
        <v>Còn trống</v>
      </c>
      <c r="F29" s="9">
        <f>COUNTIFS(Registrations!$H$2:$H100,$C29,Registrations!$L$2:$L100,"&lt;&gt;Hủy",Registrations!$L$2:$L100,"&lt;&gt;Từ chối")</f>
        <v>0</v>
      </c>
      <c r="G29" s="9" t="str">
        <f>IFERROR(__xludf.DUMMYFUNCTION("IFERROR(INDEX(FILTER(Registrations!$D$2:$D100,Registrations!$H$2:$H100=$C29,Registrations!$L$2:$L100&lt;&gt;""Hủy"",Registrations!$L$2:$L100&lt;&gt;""Từ chối""),1),"""")"),"")</f>
        <v/>
      </c>
      <c r="H29" s="9" t="str">
        <f>IFERROR(__xludf.DUMMYFUNCTION("IFERROR(INDEX(FILTER(Registrations!$E$2:$E100,Registrations!$H$2:$H100=$C29,Registrations!$L$2:$L100&lt;&gt;""Hủy"",Registrations!$L$2:$L100&lt;&gt;""Từ chối""),1),"""")"),"")</f>
        <v/>
      </c>
      <c r="I29" s="9" t="str">
        <f>IFERROR(__xludf.DUMMYFUNCTION("IF(F29=0,"""",IF(IFERROR(INDEX(FILTER(Registrations!$F$2:$F100,Registrations!$H$2:$H100=$C29,Registrations!$L$2:$L100&lt;&gt;""Hủy"",Registrations!$L$2:$L100&lt;&gt;""Từ chối""),1),"""")=$A29,""Khớp"",""Sai kho""))"),"")</f>
        <v/>
      </c>
      <c r="J29" s="5" t="s">
        <v>65</v>
      </c>
      <c r="K29" s="15">
        <v>5085000.0</v>
      </c>
    </row>
    <row r="30">
      <c r="A30" s="5" t="s">
        <v>35</v>
      </c>
      <c r="B30" s="6">
        <v>29.0</v>
      </c>
      <c r="C30" s="7" t="s">
        <v>419</v>
      </c>
      <c r="D30" s="5" t="s">
        <v>420</v>
      </c>
      <c r="E30" s="9" t="str">
        <f t="shared" si="1"/>
        <v>Còn trống</v>
      </c>
      <c r="F30" s="9">
        <f>COUNTIFS(Registrations!$H$2:$H100,$C30,Registrations!$L$2:$L100,"&lt;&gt;Hủy",Registrations!$L$2:$L100,"&lt;&gt;Từ chối")</f>
        <v>0</v>
      </c>
      <c r="G30" s="9" t="str">
        <f>IFERROR(__xludf.DUMMYFUNCTION("IFERROR(INDEX(FILTER(Registrations!$D$2:$D100,Registrations!$H$2:$H100=$C30,Registrations!$L$2:$L100&lt;&gt;""Hủy"",Registrations!$L$2:$L100&lt;&gt;""Từ chối""),1),"""")"),"")</f>
        <v/>
      </c>
      <c r="H30" s="9" t="str">
        <f>IFERROR(__xludf.DUMMYFUNCTION("IFERROR(INDEX(FILTER(Registrations!$E$2:$E100,Registrations!$H$2:$H100=$C30,Registrations!$L$2:$L100&lt;&gt;""Hủy"",Registrations!$L$2:$L100&lt;&gt;""Từ chối""),1),"""")"),"")</f>
        <v/>
      </c>
      <c r="I30" s="9" t="str">
        <f>IFERROR(__xludf.DUMMYFUNCTION("IF(F30=0,"""",IF(IFERROR(INDEX(FILTER(Registrations!$F$2:$F100,Registrations!$H$2:$H100=$C30,Registrations!$L$2:$L100&lt;&gt;""Hủy"",Registrations!$L$2:$L100&lt;&gt;""Từ chối""),1),"""")=$A30,""Khớp"",""Sai kho""))"),"")</f>
        <v/>
      </c>
      <c r="J30" s="5" t="s">
        <v>65</v>
      </c>
      <c r="K30" s="15">
        <v>903500.0</v>
      </c>
    </row>
    <row r="31">
      <c r="A31" s="5" t="s">
        <v>35</v>
      </c>
      <c r="B31" s="6">
        <v>30.0</v>
      </c>
      <c r="C31" s="7" t="s">
        <v>421</v>
      </c>
      <c r="D31" s="5" t="s">
        <v>422</v>
      </c>
      <c r="E31" s="9" t="str">
        <f t="shared" si="1"/>
        <v>Còn trống</v>
      </c>
      <c r="F31" s="9">
        <f>COUNTIFS(Registrations!$H$2:$H100,$C31,Registrations!$L$2:$L100,"&lt;&gt;Hủy",Registrations!$L$2:$L100,"&lt;&gt;Từ chối")</f>
        <v>0</v>
      </c>
      <c r="G31" s="9" t="str">
        <f>IFERROR(__xludf.DUMMYFUNCTION("IFERROR(INDEX(FILTER(Registrations!$D$2:$D100,Registrations!$H$2:$H100=$C31,Registrations!$L$2:$L100&lt;&gt;""Hủy"",Registrations!$L$2:$L100&lt;&gt;""Từ chối""),1),"""")"),"")</f>
        <v/>
      </c>
      <c r="H31" s="9" t="str">
        <f>IFERROR(__xludf.DUMMYFUNCTION("IFERROR(INDEX(FILTER(Registrations!$E$2:$E100,Registrations!$H$2:$H100=$C31,Registrations!$L$2:$L100&lt;&gt;""Hủy"",Registrations!$L$2:$L100&lt;&gt;""Từ chối""),1),"""")"),"")</f>
        <v/>
      </c>
      <c r="I31" s="9" t="str">
        <f>IFERROR(__xludf.DUMMYFUNCTION("IF(F31=0,"""",IF(IFERROR(INDEX(FILTER(Registrations!$F$2:$F100,Registrations!$H$2:$H100=$C31,Registrations!$L$2:$L100&lt;&gt;""Hủy"",Registrations!$L$2:$L100&lt;&gt;""Từ chối""),1),"""")=$A31,""Khớp"",""Sai kho""))"),"")</f>
        <v/>
      </c>
      <c r="J31" s="5" t="s">
        <v>60</v>
      </c>
      <c r="K31" s="15">
        <v>4872500.0</v>
      </c>
    </row>
    <row r="32">
      <c r="A32" s="5" t="s">
        <v>35</v>
      </c>
      <c r="B32" s="6">
        <v>31.0</v>
      </c>
      <c r="C32" s="7" t="s">
        <v>423</v>
      </c>
      <c r="D32" s="5" t="s">
        <v>424</v>
      </c>
      <c r="E32" s="9" t="str">
        <f t="shared" si="1"/>
        <v>Còn trống</v>
      </c>
      <c r="F32" s="9">
        <f>COUNTIFS(Registrations!$H$2:$H100,$C32,Registrations!$L$2:$L100,"&lt;&gt;Hủy",Registrations!$L$2:$L100,"&lt;&gt;Từ chối")</f>
        <v>0</v>
      </c>
      <c r="G32" s="9" t="str">
        <f>IFERROR(__xludf.DUMMYFUNCTION("IFERROR(INDEX(FILTER(Registrations!$D$2:$D100,Registrations!$H$2:$H100=$C32,Registrations!$L$2:$L100&lt;&gt;""Hủy"",Registrations!$L$2:$L100&lt;&gt;""Từ chối""),1),"""")"),"")</f>
        <v/>
      </c>
      <c r="H32" s="9" t="str">
        <f>IFERROR(__xludf.DUMMYFUNCTION("IFERROR(INDEX(FILTER(Registrations!$E$2:$E100,Registrations!$H$2:$H100=$C32,Registrations!$L$2:$L100&lt;&gt;""Hủy"",Registrations!$L$2:$L100&lt;&gt;""Từ chối""),1),"""")"),"")</f>
        <v/>
      </c>
      <c r="I32" s="9" t="str">
        <f>IFERROR(__xludf.DUMMYFUNCTION("IF(F32=0,"""",IF(IFERROR(INDEX(FILTER(Registrations!$F$2:$F100,Registrations!$H$2:$H100=$C32,Registrations!$L$2:$L100&lt;&gt;""Hủy"",Registrations!$L$2:$L100&lt;&gt;""Từ chối""),1),"""")=$A32,""Khớp"",""Sai kho""))"),"")</f>
        <v/>
      </c>
      <c r="J32" s="5" t="s">
        <v>65</v>
      </c>
      <c r="K32" s="15">
        <v>1.00225E7</v>
      </c>
    </row>
    <row r="33">
      <c r="A33" s="5" t="s">
        <v>35</v>
      </c>
      <c r="B33" s="6">
        <v>32.0</v>
      </c>
      <c r="C33" s="7" t="s">
        <v>425</v>
      </c>
      <c r="D33" s="5" t="s">
        <v>111</v>
      </c>
      <c r="E33" s="9" t="str">
        <f t="shared" si="1"/>
        <v>Còn trống</v>
      </c>
      <c r="F33" s="9">
        <f>COUNTIFS(Registrations!$H$2:$H100,$C33,Registrations!$L$2:$L100,"&lt;&gt;Hủy",Registrations!$L$2:$L100,"&lt;&gt;Từ chối")</f>
        <v>0</v>
      </c>
      <c r="G33" s="9" t="str">
        <f>IFERROR(__xludf.DUMMYFUNCTION("IFERROR(INDEX(FILTER(Registrations!$D$2:$D100,Registrations!$H$2:$H100=$C33,Registrations!$L$2:$L100&lt;&gt;""Hủy"",Registrations!$L$2:$L100&lt;&gt;""Từ chối""),1),"""")"),"")</f>
        <v/>
      </c>
      <c r="H33" s="9" t="str">
        <f>IFERROR(__xludf.DUMMYFUNCTION("IFERROR(INDEX(FILTER(Registrations!$E$2:$E100,Registrations!$H$2:$H100=$C33,Registrations!$L$2:$L100&lt;&gt;""Hủy"",Registrations!$L$2:$L100&lt;&gt;""Từ chối""),1),"""")"),"")</f>
        <v/>
      </c>
      <c r="I33" s="9" t="str">
        <f>IFERROR(__xludf.DUMMYFUNCTION("IF(F33=0,"""",IF(IFERROR(INDEX(FILTER(Registrations!$F$2:$F100,Registrations!$H$2:$H100=$C33,Registrations!$L$2:$L100&lt;&gt;""Hủy"",Registrations!$L$2:$L100&lt;&gt;""Từ chối""),1),"""")=$A33,""Khớp"",""Sai kho""))"),"")</f>
        <v/>
      </c>
      <c r="J33" s="5" t="s">
        <v>65</v>
      </c>
      <c r="K33" s="15">
        <v>1.2475E7</v>
      </c>
    </row>
    <row r="34">
      <c r="A34" s="5" t="s">
        <v>35</v>
      </c>
      <c r="B34" s="6">
        <v>33.0</v>
      </c>
      <c r="C34" s="7" t="s">
        <v>426</v>
      </c>
      <c r="D34" s="5" t="s">
        <v>427</v>
      </c>
      <c r="E34" s="9" t="str">
        <f t="shared" si="1"/>
        <v>Còn trống</v>
      </c>
      <c r="F34" s="9">
        <f>COUNTIFS(Registrations!$H$2:$H100,$C34,Registrations!$L$2:$L100,"&lt;&gt;Hủy",Registrations!$L$2:$L100,"&lt;&gt;Từ chối")</f>
        <v>0</v>
      </c>
      <c r="G34" s="9" t="str">
        <f>IFERROR(__xludf.DUMMYFUNCTION("IFERROR(INDEX(FILTER(Registrations!$D$2:$D100,Registrations!$H$2:$H100=$C34,Registrations!$L$2:$L100&lt;&gt;""Hủy"",Registrations!$L$2:$L100&lt;&gt;""Từ chối""),1),"""")"),"")</f>
        <v/>
      </c>
      <c r="H34" s="9" t="str">
        <f>IFERROR(__xludf.DUMMYFUNCTION("IFERROR(INDEX(FILTER(Registrations!$E$2:$E100,Registrations!$H$2:$H100=$C34,Registrations!$L$2:$L100&lt;&gt;""Hủy"",Registrations!$L$2:$L100&lt;&gt;""Từ chối""),1),"""")"),"")</f>
        <v/>
      </c>
      <c r="I34" s="9" t="str">
        <f>IFERROR(__xludf.DUMMYFUNCTION("IF(F34=0,"""",IF(IFERROR(INDEX(FILTER(Registrations!$F$2:$F100,Registrations!$H$2:$H100=$C34,Registrations!$L$2:$L100&lt;&gt;""Hủy"",Registrations!$L$2:$L100&lt;&gt;""Từ chối""),1),"""")=$A34,""Khớp"",""Sai kho""))"),"")</f>
        <v/>
      </c>
      <c r="J34" s="5" t="s">
        <v>65</v>
      </c>
      <c r="K34" s="15">
        <v>7322500.0</v>
      </c>
    </row>
    <row r="35">
      <c r="A35" s="5" t="s">
        <v>35</v>
      </c>
      <c r="B35" s="6">
        <v>34.0</v>
      </c>
      <c r="C35" s="7" t="s">
        <v>432</v>
      </c>
      <c r="D35" s="5" t="s">
        <v>113</v>
      </c>
      <c r="E35" s="9" t="str">
        <f t="shared" si="1"/>
        <v>Còn trống</v>
      </c>
      <c r="F35" s="9">
        <f>COUNTIFS(Registrations!$H$2:$H100,$C35,Registrations!$L$2:$L100,"&lt;&gt;Hủy",Registrations!$L$2:$L100,"&lt;&gt;Từ chối")</f>
        <v>0</v>
      </c>
      <c r="G35" s="9" t="str">
        <f>IFERROR(__xludf.DUMMYFUNCTION("IFERROR(INDEX(FILTER(Registrations!$D$2:$D100,Registrations!$H$2:$H100=$C35,Registrations!$L$2:$L100&lt;&gt;""Hủy"",Registrations!$L$2:$L100&lt;&gt;""Từ chối""),1),"""")"),"")</f>
        <v/>
      </c>
      <c r="H35" s="9" t="str">
        <f>IFERROR(__xludf.DUMMYFUNCTION("IFERROR(INDEX(FILTER(Registrations!$E$2:$E100,Registrations!$H$2:$H100=$C35,Registrations!$L$2:$L100&lt;&gt;""Hủy"",Registrations!$L$2:$L100&lt;&gt;""Từ chối""),1),"""")"),"")</f>
        <v/>
      </c>
      <c r="I35" s="9" t="str">
        <f>IFERROR(__xludf.DUMMYFUNCTION("IF(F35=0,"""",IF(IFERROR(INDEX(FILTER(Registrations!$F$2:$F100,Registrations!$H$2:$H100=$C35,Registrations!$L$2:$L100&lt;&gt;""Hủy"",Registrations!$L$2:$L100&lt;&gt;""Từ chối""),1),"""")=$A35,""Khớp"",""Sai kho""))"),"")</f>
        <v/>
      </c>
      <c r="J35" s="5" t="s">
        <v>65</v>
      </c>
      <c r="K35" s="15">
        <v>1.76225E7</v>
      </c>
    </row>
    <row r="36">
      <c r="A36" s="5" t="s">
        <v>35</v>
      </c>
      <c r="B36" s="6">
        <v>35.0</v>
      </c>
      <c r="C36" s="7" t="s">
        <v>433</v>
      </c>
      <c r="D36" s="5" t="s">
        <v>115</v>
      </c>
      <c r="E36" s="9" t="str">
        <f t="shared" si="1"/>
        <v>Còn trống</v>
      </c>
      <c r="F36" s="9">
        <f>COUNTIFS(Registrations!$H$2:$H100,$C36,Registrations!$L$2:$L100,"&lt;&gt;Hủy",Registrations!$L$2:$L100,"&lt;&gt;Từ chối")</f>
        <v>0</v>
      </c>
      <c r="G36" s="9" t="str">
        <f>IFERROR(__xludf.DUMMYFUNCTION("IFERROR(INDEX(FILTER(Registrations!$D$2:$D100,Registrations!$H$2:$H100=$C36,Registrations!$L$2:$L100&lt;&gt;""Hủy"",Registrations!$L$2:$L100&lt;&gt;""Từ chối""),1),"""")"),"")</f>
        <v/>
      </c>
      <c r="H36" s="9" t="str">
        <f>IFERROR(__xludf.DUMMYFUNCTION("IFERROR(INDEX(FILTER(Registrations!$E$2:$E100,Registrations!$H$2:$H100=$C36,Registrations!$L$2:$L100&lt;&gt;""Hủy"",Registrations!$L$2:$L100&lt;&gt;""Từ chối""),1),"""")"),"")</f>
        <v/>
      </c>
      <c r="I36" s="9" t="str">
        <f>IFERROR(__xludf.DUMMYFUNCTION("IF(F36=0,"""",IF(IFERROR(INDEX(FILTER(Registrations!$F$2:$F100,Registrations!$H$2:$H100=$C36,Registrations!$L$2:$L100&lt;&gt;""Hủy"",Registrations!$L$2:$L100&lt;&gt;""Từ chối""),1),"""")=$A36,""Khớp"",""Sai kho""))"),"")</f>
        <v/>
      </c>
      <c r="J36" s="5" t="s">
        <v>65</v>
      </c>
      <c r="K36" s="15">
        <v>1.3975E7</v>
      </c>
    </row>
    <row r="37">
      <c r="A37" s="5" t="s">
        <v>35</v>
      </c>
      <c r="B37" s="6">
        <v>36.0</v>
      </c>
      <c r="C37" s="7" t="s">
        <v>434</v>
      </c>
      <c r="D37" s="5" t="s">
        <v>146</v>
      </c>
      <c r="E37" s="9" t="str">
        <f t="shared" si="1"/>
        <v>Còn trống</v>
      </c>
      <c r="F37" s="9">
        <f>COUNTIFS(Registrations!$H$2:$H100,$C37,Registrations!$L$2:$L100,"&lt;&gt;Hủy",Registrations!$L$2:$L100,"&lt;&gt;Từ chối")</f>
        <v>0</v>
      </c>
      <c r="G37" s="9" t="str">
        <f>IFERROR(__xludf.DUMMYFUNCTION("IFERROR(INDEX(FILTER(Registrations!$D$2:$D100,Registrations!$H$2:$H100=$C37,Registrations!$L$2:$L100&lt;&gt;""Hủy"",Registrations!$L$2:$L100&lt;&gt;""Từ chối""),1),"""")"),"")</f>
        <v/>
      </c>
      <c r="H37" s="9" t="str">
        <f>IFERROR(__xludf.DUMMYFUNCTION("IFERROR(INDEX(FILTER(Registrations!$E$2:$E100,Registrations!$H$2:$H100=$C37,Registrations!$L$2:$L100&lt;&gt;""Hủy"",Registrations!$L$2:$L100&lt;&gt;""Từ chối""),1),"""")"),"")</f>
        <v/>
      </c>
      <c r="I37" s="9" t="str">
        <f>IFERROR(__xludf.DUMMYFUNCTION("IF(F37=0,"""",IF(IFERROR(INDEX(FILTER(Registrations!$F$2:$F100,Registrations!$H$2:$H100=$C37,Registrations!$L$2:$L100&lt;&gt;""Hủy"",Registrations!$L$2:$L100&lt;&gt;""Từ chối""),1),"""")=$A37,""Khớp"",""Sai kho""))"),"")</f>
        <v/>
      </c>
      <c r="J37" s="5" t="s">
        <v>65</v>
      </c>
      <c r="K37" s="15">
        <v>1.4975E7</v>
      </c>
    </row>
    <row r="38">
      <c r="A38" s="5" t="s">
        <v>35</v>
      </c>
      <c r="B38" s="6">
        <v>37.0</v>
      </c>
      <c r="C38" s="7" t="s">
        <v>435</v>
      </c>
      <c r="D38" s="5" t="s">
        <v>197</v>
      </c>
      <c r="E38" s="9" t="str">
        <f t="shared" si="1"/>
        <v>Còn trống</v>
      </c>
      <c r="F38" s="9">
        <f>COUNTIFS(Registrations!$H$2:$H100,$C38,Registrations!$L$2:$L100,"&lt;&gt;Hủy",Registrations!$L$2:$L100,"&lt;&gt;Từ chối")</f>
        <v>0</v>
      </c>
      <c r="G38" s="9" t="str">
        <f>IFERROR(__xludf.DUMMYFUNCTION("IFERROR(INDEX(FILTER(Registrations!$D$2:$D100,Registrations!$H$2:$H100=$C38,Registrations!$L$2:$L100&lt;&gt;""Hủy"",Registrations!$L$2:$L100&lt;&gt;""Từ chối""),1),"""")"),"")</f>
        <v/>
      </c>
      <c r="H38" s="9" t="str">
        <f>IFERROR(__xludf.DUMMYFUNCTION("IFERROR(INDEX(FILTER(Registrations!$E$2:$E100,Registrations!$H$2:$H100=$C38,Registrations!$L$2:$L100&lt;&gt;""Hủy"",Registrations!$L$2:$L100&lt;&gt;""Từ chối""),1),"""")"),"")</f>
        <v/>
      </c>
      <c r="I38" s="9" t="str">
        <f>IFERROR(__xludf.DUMMYFUNCTION("IF(F38=0,"""",IF(IFERROR(INDEX(FILTER(Registrations!$F$2:$F100,Registrations!$H$2:$H100=$C38,Registrations!$L$2:$L100&lt;&gt;""Hủy"",Registrations!$L$2:$L100&lt;&gt;""Từ chối""),1),"""")=$A38,""Khớp"",""Sai kho""))"),"")</f>
        <v/>
      </c>
      <c r="J38" s="5" t="s">
        <v>65</v>
      </c>
      <c r="K38" s="15">
        <v>1.6475E7</v>
      </c>
    </row>
    <row r="39">
      <c r="A39" s="5" t="s">
        <v>35</v>
      </c>
      <c r="B39" s="6">
        <v>38.0</v>
      </c>
      <c r="C39" s="7" t="s">
        <v>436</v>
      </c>
      <c r="D39" s="5" t="s">
        <v>437</v>
      </c>
      <c r="E39" s="9" t="str">
        <f t="shared" si="1"/>
        <v>Còn trống</v>
      </c>
      <c r="F39" s="9">
        <f>COUNTIFS(Registrations!$H$2:$H100,$C39,Registrations!$L$2:$L100,"&lt;&gt;Hủy",Registrations!$L$2:$L100,"&lt;&gt;Từ chối")</f>
        <v>0</v>
      </c>
      <c r="G39" s="9" t="str">
        <f>IFERROR(__xludf.DUMMYFUNCTION("IFERROR(INDEX(FILTER(Registrations!$D$2:$D100,Registrations!$H$2:$H100=$C39,Registrations!$L$2:$L100&lt;&gt;""Hủy"",Registrations!$L$2:$L100&lt;&gt;""Từ chối""),1),"""")"),"")</f>
        <v/>
      </c>
      <c r="H39" s="9" t="str">
        <f>IFERROR(__xludf.DUMMYFUNCTION("IFERROR(INDEX(FILTER(Registrations!$E$2:$E100,Registrations!$H$2:$H100=$C39,Registrations!$L$2:$L100&lt;&gt;""Hủy"",Registrations!$L$2:$L100&lt;&gt;""Từ chối""),1),"""")"),"")</f>
        <v/>
      </c>
      <c r="I39" s="9" t="str">
        <f>IFERROR(__xludf.DUMMYFUNCTION("IF(F39=0,"""",IF(IFERROR(INDEX(FILTER(Registrations!$F$2:$F100,Registrations!$H$2:$H100=$C39,Registrations!$L$2:$L100&lt;&gt;""Hủy"",Registrations!$L$2:$L100&lt;&gt;""Từ chối""),1),"""")=$A39,""Khớp"",""Sai kho""))"),"")</f>
        <v/>
      </c>
      <c r="J39" s="5" t="s">
        <v>65</v>
      </c>
      <c r="K39" s="15">
        <v>1.7475E7</v>
      </c>
    </row>
    <row r="40">
      <c r="A40" s="5" t="s">
        <v>35</v>
      </c>
      <c r="B40" s="6">
        <v>39.0</v>
      </c>
      <c r="C40" s="7" t="s">
        <v>438</v>
      </c>
      <c r="D40" s="5" t="s">
        <v>306</v>
      </c>
      <c r="E40" s="9" t="str">
        <f t="shared" si="1"/>
        <v>Còn trống</v>
      </c>
      <c r="F40" s="9">
        <f>COUNTIFS(Registrations!$H$2:$H100,$C40,Registrations!$L$2:$L100,"&lt;&gt;Hủy",Registrations!$L$2:$L100,"&lt;&gt;Từ chối")</f>
        <v>0</v>
      </c>
      <c r="G40" s="9" t="str">
        <f>IFERROR(__xludf.DUMMYFUNCTION("IFERROR(INDEX(FILTER(Registrations!$D$2:$D100,Registrations!$H$2:$H100=$C40,Registrations!$L$2:$L100&lt;&gt;""Hủy"",Registrations!$L$2:$L100&lt;&gt;""Từ chối""),1),"""")"),"")</f>
        <v/>
      </c>
      <c r="H40" s="9" t="str">
        <f>IFERROR(__xludf.DUMMYFUNCTION("IFERROR(INDEX(FILTER(Registrations!$E$2:$E100,Registrations!$H$2:$H100=$C40,Registrations!$L$2:$L100&lt;&gt;""Hủy"",Registrations!$L$2:$L100&lt;&gt;""Từ chối""),1),"""")"),"")</f>
        <v/>
      </c>
      <c r="I40" s="9" t="str">
        <f>IFERROR(__xludf.DUMMYFUNCTION("IF(F40=0,"""",IF(IFERROR(INDEX(FILTER(Registrations!$F$2:$F100,Registrations!$H$2:$H100=$C40,Registrations!$L$2:$L100&lt;&gt;""Hủy"",Registrations!$L$2:$L100&lt;&gt;""Từ chối""),1),"""")=$A40,""Khớp"",""Sai kho""))"),"")</f>
        <v/>
      </c>
      <c r="J40" s="5" t="s">
        <v>307</v>
      </c>
      <c r="K40" s="15">
        <v>1.795E7</v>
      </c>
    </row>
    <row r="41">
      <c r="A41" s="5" t="s">
        <v>35</v>
      </c>
      <c r="B41" s="6">
        <v>40.0</v>
      </c>
      <c r="C41" s="7" t="s">
        <v>439</v>
      </c>
      <c r="D41" s="5" t="s">
        <v>311</v>
      </c>
      <c r="E41" s="9" t="str">
        <f t="shared" si="1"/>
        <v>Còn trống</v>
      </c>
      <c r="F41" s="9">
        <f>COUNTIFS(Registrations!$H$2:$H100,$C41,Registrations!$L$2:$L100,"&lt;&gt;Hủy",Registrations!$L$2:$L100,"&lt;&gt;Từ chối")</f>
        <v>0</v>
      </c>
      <c r="G41" s="9" t="str">
        <f>IFERROR(__xludf.DUMMYFUNCTION("IFERROR(INDEX(FILTER(Registrations!$D$2:$D100,Registrations!$H$2:$H100=$C41,Registrations!$L$2:$L100&lt;&gt;""Hủy"",Registrations!$L$2:$L100&lt;&gt;""Từ chối""),1),"""")"),"")</f>
        <v/>
      </c>
      <c r="H41" s="9" t="str">
        <f>IFERROR(__xludf.DUMMYFUNCTION("IFERROR(INDEX(FILTER(Registrations!$E$2:$E100,Registrations!$H$2:$H100=$C41,Registrations!$L$2:$L100&lt;&gt;""Hủy"",Registrations!$L$2:$L100&lt;&gt;""Từ chối""),1),"""")"),"")</f>
        <v/>
      </c>
      <c r="I41" s="9" t="str">
        <f>IFERROR(__xludf.DUMMYFUNCTION("IF(F41=0,"""",IF(IFERROR(INDEX(FILTER(Registrations!$F$2:$F100,Registrations!$H$2:$H100=$C41,Registrations!$L$2:$L100&lt;&gt;""Hủy"",Registrations!$L$2:$L100&lt;&gt;""Từ chối""),1),"""")=$A41,""Khớp"",""Sai kho""))"),"")</f>
        <v/>
      </c>
      <c r="J41" s="5" t="s">
        <v>307</v>
      </c>
      <c r="K41" s="15">
        <v>8450000.0</v>
      </c>
    </row>
    <row r="42">
      <c r="A42" s="5" t="s">
        <v>35</v>
      </c>
      <c r="B42" s="6">
        <v>41.0</v>
      </c>
      <c r="C42" s="7" t="s">
        <v>440</v>
      </c>
      <c r="D42" s="5" t="s">
        <v>332</v>
      </c>
      <c r="E42" s="9" t="str">
        <f t="shared" si="1"/>
        <v>Còn trống</v>
      </c>
      <c r="F42" s="9">
        <f>COUNTIFS(Registrations!$H$2:$H100,$C42,Registrations!$L$2:$L100,"&lt;&gt;Hủy",Registrations!$L$2:$L100,"&lt;&gt;Từ chối")</f>
        <v>0</v>
      </c>
      <c r="G42" s="9" t="str">
        <f>IFERROR(__xludf.DUMMYFUNCTION("IFERROR(INDEX(FILTER(Registrations!$D$2:$D100,Registrations!$H$2:$H100=$C42,Registrations!$L$2:$L100&lt;&gt;""Hủy"",Registrations!$L$2:$L100&lt;&gt;""Từ chối""),1),"""")"),"")</f>
        <v/>
      </c>
      <c r="H42" s="9" t="str">
        <f>IFERROR(__xludf.DUMMYFUNCTION("IFERROR(INDEX(FILTER(Registrations!$E$2:$E100,Registrations!$H$2:$H100=$C42,Registrations!$L$2:$L100&lt;&gt;""Hủy"",Registrations!$L$2:$L100&lt;&gt;""Từ chối""),1),"""")"),"")</f>
        <v/>
      </c>
      <c r="I42" s="9" t="str">
        <f>IFERROR(__xludf.DUMMYFUNCTION("IF(F42=0,"""",IF(IFERROR(INDEX(FILTER(Registrations!$F$2:$F100,Registrations!$H$2:$H100=$C42,Registrations!$L$2:$L100&lt;&gt;""Hủy"",Registrations!$L$2:$L100&lt;&gt;""Từ chối""),1),"""")=$A42,""Khớp"",""Sai kho""))"),"")</f>
        <v/>
      </c>
      <c r="J42" s="5" t="s">
        <v>307</v>
      </c>
      <c r="K42" s="15">
        <v>6950000.0</v>
      </c>
    </row>
    <row r="43">
      <c r="A43" s="5" t="s">
        <v>35</v>
      </c>
      <c r="B43" s="6">
        <v>42.0</v>
      </c>
      <c r="C43" s="7" t="s">
        <v>441</v>
      </c>
      <c r="D43" s="5" t="s">
        <v>352</v>
      </c>
      <c r="E43" s="9" t="str">
        <f t="shared" si="1"/>
        <v>Còn trống</v>
      </c>
      <c r="F43" s="9">
        <f>COUNTIFS(Registrations!$H$2:$H100,$C43,Registrations!$L$2:$L100,"&lt;&gt;Hủy",Registrations!$L$2:$L100,"&lt;&gt;Từ chối")</f>
        <v>0</v>
      </c>
      <c r="G43" s="9" t="str">
        <f>IFERROR(__xludf.DUMMYFUNCTION("IFERROR(INDEX(FILTER(Registrations!$D$2:$D100,Registrations!$H$2:$H100=$C43,Registrations!$L$2:$L100&lt;&gt;""Hủy"",Registrations!$L$2:$L100&lt;&gt;""Từ chối""),1),"""")"),"")</f>
        <v/>
      </c>
      <c r="H43" s="9" t="str">
        <f>IFERROR(__xludf.DUMMYFUNCTION("IFERROR(INDEX(FILTER(Registrations!$E$2:$E100,Registrations!$H$2:$H100=$C43,Registrations!$L$2:$L100&lt;&gt;""Hủy"",Registrations!$L$2:$L100&lt;&gt;""Từ chối""),1),"""")"),"")</f>
        <v/>
      </c>
      <c r="I43" s="9" t="str">
        <f>IFERROR(__xludf.DUMMYFUNCTION("IF(F43=0,"""",IF(IFERROR(INDEX(FILTER(Registrations!$F$2:$F100,Registrations!$H$2:$H100=$C43,Registrations!$L$2:$L100&lt;&gt;""Hủy"",Registrations!$L$2:$L100&lt;&gt;""Từ chối""),1),"""")=$A43,""Khớp"",""Sai kho""))"),"")</f>
        <v/>
      </c>
      <c r="J43" s="5" t="s">
        <v>307</v>
      </c>
      <c r="K43" s="15">
        <v>1.745E7</v>
      </c>
    </row>
    <row r="44">
      <c r="A44" s="5" t="s">
        <v>35</v>
      </c>
      <c r="B44" s="6">
        <v>43.0</v>
      </c>
      <c r="C44" s="7" t="s">
        <v>442</v>
      </c>
      <c r="D44" s="5" t="s">
        <v>443</v>
      </c>
      <c r="E44" s="9" t="str">
        <f t="shared" si="1"/>
        <v>Còn trống</v>
      </c>
      <c r="F44" s="9">
        <f>COUNTIFS(Registrations!$H$2:$H100,$C44,Registrations!$L$2:$L100,"&lt;&gt;Hủy",Registrations!$L$2:$L100,"&lt;&gt;Từ chối")</f>
        <v>0</v>
      </c>
      <c r="G44" s="9" t="str">
        <f>IFERROR(__xludf.DUMMYFUNCTION("IFERROR(INDEX(FILTER(Registrations!$D$2:$D100,Registrations!$H$2:$H100=$C44,Registrations!$L$2:$L100&lt;&gt;""Hủy"",Registrations!$L$2:$L100&lt;&gt;""Từ chối""),1),"""")"),"")</f>
        <v/>
      </c>
      <c r="H44" s="9" t="str">
        <f>IFERROR(__xludf.DUMMYFUNCTION("IFERROR(INDEX(FILTER(Registrations!$E$2:$E100,Registrations!$H$2:$H100=$C44,Registrations!$L$2:$L100&lt;&gt;""Hủy"",Registrations!$L$2:$L100&lt;&gt;""Từ chối""),1),"""")"),"")</f>
        <v/>
      </c>
      <c r="I44" s="9" t="str">
        <f>IFERROR(__xludf.DUMMYFUNCTION("IF(F44=0,"""",IF(IFERROR(INDEX(FILTER(Registrations!$F$2:$F100,Registrations!$H$2:$H100=$C44,Registrations!$L$2:$L100&lt;&gt;""Hủy"",Registrations!$L$2:$L100&lt;&gt;""Từ chối""),1),"""")=$A44,""Khớp"",""Sai kho""))"),"")</f>
        <v/>
      </c>
      <c r="J44" s="5" t="s">
        <v>307</v>
      </c>
      <c r="K44" s="15">
        <v>5.8845E7</v>
      </c>
    </row>
    <row r="45">
      <c r="A45" s="5" t="s">
        <v>35</v>
      </c>
      <c r="B45" s="6">
        <v>44.0</v>
      </c>
      <c r="C45" s="7" t="s">
        <v>444</v>
      </c>
      <c r="D45" s="5" t="s">
        <v>445</v>
      </c>
      <c r="E45" s="9" t="str">
        <f t="shared" si="1"/>
        <v>Còn trống</v>
      </c>
      <c r="F45" s="9">
        <f>COUNTIFS(Registrations!$H$2:$H100,$C45,Registrations!$L$2:$L100,"&lt;&gt;Hủy",Registrations!$L$2:$L100,"&lt;&gt;Từ chối")</f>
        <v>0</v>
      </c>
      <c r="G45" s="9" t="str">
        <f>IFERROR(__xludf.DUMMYFUNCTION("IFERROR(INDEX(FILTER(Registrations!$D$2:$D100,Registrations!$H$2:$H100=$C45,Registrations!$L$2:$L100&lt;&gt;""Hủy"",Registrations!$L$2:$L100&lt;&gt;""Từ chối""),1),"""")"),"")</f>
        <v/>
      </c>
      <c r="H45" s="9" t="str">
        <f>IFERROR(__xludf.DUMMYFUNCTION("IFERROR(INDEX(FILTER(Registrations!$E$2:$E100,Registrations!$H$2:$H100=$C45,Registrations!$L$2:$L100&lt;&gt;""Hủy"",Registrations!$L$2:$L100&lt;&gt;""Từ chối""),1),"""")"),"")</f>
        <v/>
      </c>
      <c r="I45" s="9" t="str">
        <f>IFERROR(__xludf.DUMMYFUNCTION("IF(F45=0,"""",IF(IFERROR(INDEX(FILTER(Registrations!$F$2:$F100,Registrations!$H$2:$H100=$C45,Registrations!$L$2:$L100&lt;&gt;""Hủy"",Registrations!$L$2:$L100&lt;&gt;""Từ chối""),1),"""")=$A45,""Khớp"",""Sai kho""))"),"")</f>
        <v/>
      </c>
      <c r="J45" s="5" t="s">
        <v>307</v>
      </c>
      <c r="K45" s="15">
        <v>1.8595E7</v>
      </c>
    </row>
    <row r="46">
      <c r="A46" s="5" t="s">
        <v>35</v>
      </c>
      <c r="B46" s="6">
        <v>45.0</v>
      </c>
      <c r="C46" s="7" t="s">
        <v>446</v>
      </c>
      <c r="D46" s="5" t="s">
        <v>445</v>
      </c>
      <c r="E46" s="9" t="str">
        <f t="shared" si="1"/>
        <v>Còn trống</v>
      </c>
      <c r="F46" s="9">
        <f>COUNTIFS(Registrations!$H$2:$H100,$C46,Registrations!$L$2:$L100,"&lt;&gt;Hủy",Registrations!$L$2:$L100,"&lt;&gt;Từ chối")</f>
        <v>0</v>
      </c>
      <c r="G46" s="9" t="str">
        <f>IFERROR(__xludf.DUMMYFUNCTION("IFERROR(INDEX(FILTER(Registrations!$D$2:$D100,Registrations!$H$2:$H100=$C46,Registrations!$L$2:$L100&lt;&gt;""Hủy"",Registrations!$L$2:$L100&lt;&gt;""Từ chối""),1),"""")"),"")</f>
        <v/>
      </c>
      <c r="H46" s="9" t="str">
        <f>IFERROR(__xludf.DUMMYFUNCTION("IFERROR(INDEX(FILTER(Registrations!$E$2:$E100,Registrations!$H$2:$H100=$C46,Registrations!$L$2:$L100&lt;&gt;""Hủy"",Registrations!$L$2:$L100&lt;&gt;""Từ chối""),1),"""")"),"")</f>
        <v/>
      </c>
      <c r="I46" s="9" t="str">
        <f>IFERROR(__xludf.DUMMYFUNCTION("IF(F46=0,"""",IF(IFERROR(INDEX(FILTER(Registrations!$F$2:$F100,Registrations!$H$2:$H100=$C46,Registrations!$L$2:$L100&lt;&gt;""Hủy"",Registrations!$L$2:$L100&lt;&gt;""Từ chối""),1),"""")=$A46,""Khớp"",""Sai kho""))"),"")</f>
        <v/>
      </c>
      <c r="J46" s="5" t="s">
        <v>307</v>
      </c>
      <c r="K46" s="15">
        <v>1.8595E7</v>
      </c>
    </row>
    <row r="47">
      <c r="A47" s="5" t="s">
        <v>35</v>
      </c>
      <c r="B47" s="6">
        <v>46.0</v>
      </c>
      <c r="C47" s="7" t="s">
        <v>447</v>
      </c>
      <c r="D47" s="5" t="s">
        <v>448</v>
      </c>
      <c r="E47" s="9" t="str">
        <f t="shared" si="1"/>
        <v>Còn trống</v>
      </c>
      <c r="F47" s="9">
        <f>COUNTIFS(Registrations!$H$2:$H100,$C47,Registrations!$L$2:$L100,"&lt;&gt;Hủy",Registrations!$L$2:$L100,"&lt;&gt;Từ chối")</f>
        <v>0</v>
      </c>
      <c r="G47" s="9" t="str">
        <f>IFERROR(__xludf.DUMMYFUNCTION("IFERROR(INDEX(FILTER(Registrations!$D$2:$D100,Registrations!$H$2:$H100=$C47,Registrations!$L$2:$L100&lt;&gt;""Hủy"",Registrations!$L$2:$L100&lt;&gt;""Từ chối""),1),"""")"),"")</f>
        <v/>
      </c>
      <c r="H47" s="9" t="str">
        <f>IFERROR(__xludf.DUMMYFUNCTION("IFERROR(INDEX(FILTER(Registrations!$E$2:$E100,Registrations!$H$2:$H100=$C47,Registrations!$L$2:$L100&lt;&gt;""Hủy"",Registrations!$L$2:$L100&lt;&gt;""Từ chối""),1),"""")"),"")</f>
        <v/>
      </c>
      <c r="I47" s="9" t="str">
        <f>IFERROR(__xludf.DUMMYFUNCTION("IF(F47=0,"""",IF(IFERROR(INDEX(FILTER(Registrations!$F$2:$F100,Registrations!$H$2:$H100=$C47,Registrations!$L$2:$L100&lt;&gt;""Hủy"",Registrations!$L$2:$L100&lt;&gt;""Từ chối""),1),"""")=$A47,""Khớp"",""Sai kho""))"),"")</f>
        <v/>
      </c>
      <c r="J47" s="5" t="s">
        <v>307</v>
      </c>
      <c r="K47" s="15">
        <v>7045000.0</v>
      </c>
    </row>
    <row r="48">
      <c r="A48" s="5" t="s">
        <v>35</v>
      </c>
      <c r="B48" s="6">
        <v>47.0</v>
      </c>
      <c r="C48" s="7" t="s">
        <v>449</v>
      </c>
      <c r="D48" s="5" t="s">
        <v>450</v>
      </c>
      <c r="E48" s="9" t="str">
        <f t="shared" si="1"/>
        <v>Còn trống</v>
      </c>
      <c r="F48" s="9">
        <f>COUNTIFS(Registrations!$H$2:$H100,$C48,Registrations!$L$2:$L100,"&lt;&gt;Hủy",Registrations!$L$2:$L100,"&lt;&gt;Từ chối")</f>
        <v>0</v>
      </c>
      <c r="G48" s="9" t="str">
        <f>IFERROR(__xludf.DUMMYFUNCTION("IFERROR(INDEX(FILTER(Registrations!$D$2:$D100,Registrations!$H$2:$H100=$C48,Registrations!$L$2:$L100&lt;&gt;""Hủy"",Registrations!$L$2:$L100&lt;&gt;""Từ chối""),1),"""")"),"")</f>
        <v/>
      </c>
      <c r="H48" s="9" t="str">
        <f>IFERROR(__xludf.DUMMYFUNCTION("IFERROR(INDEX(FILTER(Registrations!$E$2:$E100,Registrations!$H$2:$H100=$C48,Registrations!$L$2:$L100&lt;&gt;""Hủy"",Registrations!$L$2:$L100&lt;&gt;""Từ chối""),1),"""")"),"")</f>
        <v/>
      </c>
      <c r="I48" s="9" t="str">
        <f>IFERROR(__xludf.DUMMYFUNCTION("IF(F48=0,"""",IF(IFERROR(INDEX(FILTER(Registrations!$F$2:$F100,Registrations!$H$2:$H100=$C48,Registrations!$L$2:$L100&lt;&gt;""Hủy"",Registrations!$L$2:$L100&lt;&gt;""Từ chối""),1),"""")=$A48,""Khớp"",""Sai kho""))"),"")</f>
        <v/>
      </c>
      <c r="J48" s="5" t="s">
        <v>307</v>
      </c>
      <c r="K48" s="15">
        <v>9495000.0</v>
      </c>
    </row>
    <row r="49">
      <c r="A49" s="5" t="s">
        <v>35</v>
      </c>
      <c r="B49" s="6">
        <v>48.0</v>
      </c>
      <c r="C49" s="7" t="s">
        <v>451</v>
      </c>
      <c r="D49" s="5" t="s">
        <v>452</v>
      </c>
      <c r="E49" s="9" t="str">
        <f t="shared" si="1"/>
        <v>Còn trống</v>
      </c>
      <c r="F49" s="9">
        <f>COUNTIFS(Registrations!$H$2:$H100,$C49,Registrations!$L$2:$L100,"&lt;&gt;Hủy",Registrations!$L$2:$L100,"&lt;&gt;Từ chối")</f>
        <v>0</v>
      </c>
      <c r="G49" s="9" t="str">
        <f>IFERROR(__xludf.DUMMYFUNCTION("IFERROR(INDEX(FILTER(Registrations!$D$2:$D100,Registrations!$H$2:$H100=$C49,Registrations!$L$2:$L100&lt;&gt;""Hủy"",Registrations!$L$2:$L100&lt;&gt;""Từ chối""),1),"""")"),"")</f>
        <v/>
      </c>
      <c r="H49" s="9" t="str">
        <f>IFERROR(__xludf.DUMMYFUNCTION("IFERROR(INDEX(FILTER(Registrations!$E$2:$E100,Registrations!$H$2:$H100=$C49,Registrations!$L$2:$L100&lt;&gt;""Hủy"",Registrations!$L$2:$L100&lt;&gt;""Từ chối""),1),"""")"),"")</f>
        <v/>
      </c>
      <c r="I49" s="9" t="str">
        <f>IFERROR(__xludf.DUMMYFUNCTION("IF(F49=0,"""",IF(IFERROR(INDEX(FILTER(Registrations!$F$2:$F100,Registrations!$H$2:$H100=$C49,Registrations!$L$2:$L100&lt;&gt;""Hủy"",Registrations!$L$2:$L100&lt;&gt;""Từ chối""),1),"""")=$A49,""Khớp"",""Sai kho""))"),"")</f>
        <v/>
      </c>
      <c r="J49" s="5" t="s">
        <v>307</v>
      </c>
      <c r="K49" s="15">
        <v>1.5395E7</v>
      </c>
    </row>
    <row r="50">
      <c r="A50" s="5" t="s">
        <v>35</v>
      </c>
      <c r="B50" s="6">
        <v>49.0</v>
      </c>
      <c r="C50" s="7" t="s">
        <v>453</v>
      </c>
      <c r="D50" s="5" t="s">
        <v>452</v>
      </c>
      <c r="E50" s="9" t="str">
        <f t="shared" si="1"/>
        <v>Còn trống</v>
      </c>
      <c r="F50" s="9">
        <f>COUNTIFS(Registrations!$H$2:$H100,$C50,Registrations!$L$2:$L100,"&lt;&gt;Hủy",Registrations!$L$2:$L100,"&lt;&gt;Từ chối")</f>
        <v>0</v>
      </c>
      <c r="G50" s="9" t="str">
        <f>IFERROR(__xludf.DUMMYFUNCTION("IFERROR(INDEX(FILTER(Registrations!$D$2:$D100,Registrations!$H$2:$H100=$C50,Registrations!$L$2:$L100&lt;&gt;""Hủy"",Registrations!$L$2:$L100&lt;&gt;""Từ chối""),1),"""")"),"")</f>
        <v/>
      </c>
      <c r="H50" s="9" t="str">
        <f>IFERROR(__xludf.DUMMYFUNCTION("IFERROR(INDEX(FILTER(Registrations!$E$2:$E100,Registrations!$H$2:$H100=$C50,Registrations!$L$2:$L100&lt;&gt;""Hủy"",Registrations!$L$2:$L100&lt;&gt;""Từ chối""),1),"""")"),"")</f>
        <v/>
      </c>
      <c r="I50" s="9" t="str">
        <f>IFERROR(__xludf.DUMMYFUNCTION("IF(F50=0,"""",IF(IFERROR(INDEX(FILTER(Registrations!$F$2:$F100,Registrations!$H$2:$H100=$C50,Registrations!$L$2:$L100&lt;&gt;""Hủy"",Registrations!$L$2:$L100&lt;&gt;""Từ chối""),1),"""")=$A50,""Khớp"",""Sai kho""))"),"")</f>
        <v/>
      </c>
      <c r="J50" s="5" t="s">
        <v>307</v>
      </c>
      <c r="K50" s="15">
        <v>1.5395E7</v>
      </c>
    </row>
    <row r="51">
      <c r="A51" s="5" t="s">
        <v>35</v>
      </c>
      <c r="B51" s="6">
        <v>50.0</v>
      </c>
      <c r="C51" s="7" t="s">
        <v>454</v>
      </c>
      <c r="D51" s="5" t="s">
        <v>452</v>
      </c>
      <c r="E51" s="9" t="str">
        <f t="shared" si="1"/>
        <v>Còn trống</v>
      </c>
      <c r="F51" s="9">
        <f>COUNTIFS(Registrations!$H$2:$H100,$C51,Registrations!$L$2:$L100,"&lt;&gt;Hủy",Registrations!$L$2:$L100,"&lt;&gt;Từ chối")</f>
        <v>0</v>
      </c>
      <c r="G51" s="9" t="str">
        <f>IFERROR(__xludf.DUMMYFUNCTION("IFERROR(INDEX(FILTER(Registrations!$D$2:$D100,Registrations!$H$2:$H100=$C51,Registrations!$L$2:$L100&lt;&gt;""Hủy"",Registrations!$L$2:$L100&lt;&gt;""Từ chối""),1),"""")"),"")</f>
        <v/>
      </c>
      <c r="H51" s="9" t="str">
        <f>IFERROR(__xludf.DUMMYFUNCTION("IFERROR(INDEX(FILTER(Registrations!$E$2:$E100,Registrations!$H$2:$H100=$C51,Registrations!$L$2:$L100&lt;&gt;""Hủy"",Registrations!$L$2:$L100&lt;&gt;""Từ chối""),1),"""")"),"")</f>
        <v/>
      </c>
      <c r="I51" s="9" t="str">
        <f>IFERROR(__xludf.DUMMYFUNCTION("IF(F51=0,"""",IF(IFERROR(INDEX(FILTER(Registrations!$F$2:$F100,Registrations!$H$2:$H100=$C51,Registrations!$L$2:$L100&lt;&gt;""Hủy"",Registrations!$L$2:$L100&lt;&gt;""Từ chối""),1),"""")=$A51,""Khớp"",""Sai kho""))"),"")</f>
        <v/>
      </c>
      <c r="J51" s="5" t="s">
        <v>307</v>
      </c>
      <c r="K51" s="15">
        <v>1.5395E7</v>
      </c>
    </row>
    <row r="52">
      <c r="A52" s="5" t="s">
        <v>35</v>
      </c>
      <c r="B52" s="6">
        <v>51.0</v>
      </c>
      <c r="C52" s="7" t="s">
        <v>455</v>
      </c>
      <c r="D52" s="5" t="s">
        <v>452</v>
      </c>
      <c r="E52" s="9" t="str">
        <f t="shared" si="1"/>
        <v>Còn trống</v>
      </c>
      <c r="F52" s="9">
        <f>COUNTIFS(Registrations!$H$2:$H100,$C52,Registrations!$L$2:$L100,"&lt;&gt;Hủy",Registrations!$L$2:$L100,"&lt;&gt;Từ chối")</f>
        <v>0</v>
      </c>
      <c r="G52" s="9" t="str">
        <f>IFERROR(__xludf.DUMMYFUNCTION("IFERROR(INDEX(FILTER(Registrations!$D$2:$D100,Registrations!$H$2:$H100=$C52,Registrations!$L$2:$L100&lt;&gt;""Hủy"",Registrations!$L$2:$L100&lt;&gt;""Từ chối""),1),"""")"),"")</f>
        <v/>
      </c>
      <c r="H52" s="9" t="str">
        <f>IFERROR(__xludf.DUMMYFUNCTION("IFERROR(INDEX(FILTER(Registrations!$E$2:$E100,Registrations!$H$2:$H100=$C52,Registrations!$L$2:$L100&lt;&gt;""Hủy"",Registrations!$L$2:$L100&lt;&gt;""Từ chối""),1),"""")"),"")</f>
        <v/>
      </c>
      <c r="I52" s="9" t="str">
        <f>IFERROR(__xludf.DUMMYFUNCTION("IF(F52=0,"""",IF(IFERROR(INDEX(FILTER(Registrations!$F$2:$F100,Registrations!$H$2:$H100=$C52,Registrations!$L$2:$L100&lt;&gt;""Hủy"",Registrations!$L$2:$L100&lt;&gt;""Từ chối""),1),"""")=$A52,""Khớp"",""Sai kho""))"),"")</f>
        <v/>
      </c>
      <c r="J52" s="5" t="s">
        <v>307</v>
      </c>
      <c r="K52" s="15">
        <v>1.5395E7</v>
      </c>
    </row>
    <row r="53">
      <c r="A53" s="5" t="s">
        <v>35</v>
      </c>
      <c r="B53" s="6">
        <v>52.0</v>
      </c>
      <c r="C53" s="7" t="s">
        <v>456</v>
      </c>
      <c r="D53" s="5" t="s">
        <v>452</v>
      </c>
      <c r="E53" s="9" t="str">
        <f t="shared" si="1"/>
        <v>Còn trống</v>
      </c>
      <c r="F53" s="9">
        <f>COUNTIFS(Registrations!$H$2:$H100,$C53,Registrations!$L$2:$L100,"&lt;&gt;Hủy",Registrations!$L$2:$L100,"&lt;&gt;Từ chối")</f>
        <v>0</v>
      </c>
      <c r="G53" s="9" t="str">
        <f>IFERROR(__xludf.DUMMYFUNCTION("IFERROR(INDEX(FILTER(Registrations!$D$2:$D100,Registrations!$H$2:$H100=$C53,Registrations!$L$2:$L100&lt;&gt;""Hủy"",Registrations!$L$2:$L100&lt;&gt;""Từ chối""),1),"""")"),"")</f>
        <v/>
      </c>
      <c r="H53" s="9" t="str">
        <f>IFERROR(__xludf.DUMMYFUNCTION("IFERROR(INDEX(FILTER(Registrations!$E$2:$E100,Registrations!$H$2:$H100=$C53,Registrations!$L$2:$L100&lt;&gt;""Hủy"",Registrations!$L$2:$L100&lt;&gt;""Từ chối""),1),"""")"),"")</f>
        <v/>
      </c>
      <c r="I53" s="9" t="str">
        <f>IFERROR(__xludf.DUMMYFUNCTION("IF(F53=0,"""",IF(IFERROR(INDEX(FILTER(Registrations!$F$2:$F100,Registrations!$H$2:$H100=$C53,Registrations!$L$2:$L100&lt;&gt;""Hủy"",Registrations!$L$2:$L100&lt;&gt;""Từ chối""),1),"""")=$A53,""Khớp"",""Sai kho""))"),"")</f>
        <v/>
      </c>
      <c r="J53" s="5" t="s">
        <v>307</v>
      </c>
      <c r="K53" s="15">
        <v>1.5395E7</v>
      </c>
    </row>
    <row r="54">
      <c r="A54" s="5" t="s">
        <v>35</v>
      </c>
      <c r="B54" s="6">
        <v>53.0</v>
      </c>
      <c r="C54" s="7" t="s">
        <v>457</v>
      </c>
      <c r="D54" s="5" t="s">
        <v>452</v>
      </c>
      <c r="E54" s="9" t="str">
        <f t="shared" si="1"/>
        <v>Còn trống</v>
      </c>
      <c r="F54" s="9">
        <f>COUNTIFS(Registrations!$H$2:$H100,$C54,Registrations!$L$2:$L100,"&lt;&gt;Hủy",Registrations!$L$2:$L100,"&lt;&gt;Từ chối")</f>
        <v>0</v>
      </c>
      <c r="G54" s="9" t="str">
        <f>IFERROR(__xludf.DUMMYFUNCTION("IFERROR(INDEX(FILTER(Registrations!$D$2:$D100,Registrations!$H$2:$H100=$C54,Registrations!$L$2:$L100&lt;&gt;""Hủy"",Registrations!$L$2:$L100&lt;&gt;""Từ chối""),1),"""")"),"")</f>
        <v/>
      </c>
      <c r="H54" s="9" t="str">
        <f>IFERROR(__xludf.DUMMYFUNCTION("IFERROR(INDEX(FILTER(Registrations!$E$2:$E100,Registrations!$H$2:$H100=$C54,Registrations!$L$2:$L100&lt;&gt;""Hủy"",Registrations!$L$2:$L100&lt;&gt;""Từ chối""),1),"""")"),"")</f>
        <v/>
      </c>
      <c r="I54" s="9" t="str">
        <f>IFERROR(__xludf.DUMMYFUNCTION("IF(F54=0,"""",IF(IFERROR(INDEX(FILTER(Registrations!$F$2:$F100,Registrations!$H$2:$H100=$C54,Registrations!$L$2:$L100&lt;&gt;""Hủy"",Registrations!$L$2:$L100&lt;&gt;""Từ chối""),1),"""")=$A54,""Khớp"",""Sai kho""))"),"")</f>
        <v/>
      </c>
      <c r="J54" s="5" t="s">
        <v>307</v>
      </c>
      <c r="K54" s="15">
        <v>1.5395E7</v>
      </c>
    </row>
    <row r="55">
      <c r="A55" s="5" t="s">
        <v>35</v>
      </c>
      <c r="B55" s="6">
        <v>54.0</v>
      </c>
      <c r="C55" s="7" t="s">
        <v>458</v>
      </c>
      <c r="D55" s="5" t="s">
        <v>452</v>
      </c>
      <c r="E55" s="9" t="str">
        <f t="shared" si="1"/>
        <v>Còn trống</v>
      </c>
      <c r="F55" s="9">
        <f>COUNTIFS(Registrations!$H$2:$H100,$C55,Registrations!$L$2:$L100,"&lt;&gt;Hủy",Registrations!$L$2:$L100,"&lt;&gt;Từ chối")</f>
        <v>0</v>
      </c>
      <c r="G55" s="9" t="str">
        <f>IFERROR(__xludf.DUMMYFUNCTION("IFERROR(INDEX(FILTER(Registrations!$D$2:$D100,Registrations!$H$2:$H100=$C55,Registrations!$L$2:$L100&lt;&gt;""Hủy"",Registrations!$L$2:$L100&lt;&gt;""Từ chối""),1),"""")"),"")</f>
        <v/>
      </c>
      <c r="H55" s="9" t="str">
        <f>IFERROR(__xludf.DUMMYFUNCTION("IFERROR(INDEX(FILTER(Registrations!$E$2:$E100,Registrations!$H$2:$H100=$C55,Registrations!$L$2:$L100&lt;&gt;""Hủy"",Registrations!$L$2:$L100&lt;&gt;""Từ chối""),1),"""")"),"")</f>
        <v/>
      </c>
      <c r="I55" s="9" t="str">
        <f>IFERROR(__xludf.DUMMYFUNCTION("IF(F55=0,"""",IF(IFERROR(INDEX(FILTER(Registrations!$F$2:$F100,Registrations!$H$2:$H100=$C55,Registrations!$L$2:$L100&lt;&gt;""Hủy"",Registrations!$L$2:$L100&lt;&gt;""Từ chối""),1),"""")=$A55,""Khớp"",""Sai kho""))"),"")</f>
        <v/>
      </c>
      <c r="J55" s="5" t="s">
        <v>307</v>
      </c>
      <c r="K55" s="15">
        <v>1.5395E7</v>
      </c>
    </row>
    <row r="56">
      <c r="A56" s="5" t="s">
        <v>35</v>
      </c>
      <c r="B56" s="6">
        <v>55.0</v>
      </c>
      <c r="C56" s="7" t="s">
        <v>459</v>
      </c>
      <c r="D56" s="5" t="s">
        <v>452</v>
      </c>
      <c r="E56" s="9" t="str">
        <f t="shared" si="1"/>
        <v>Còn trống</v>
      </c>
      <c r="F56" s="9">
        <f>COUNTIFS(Registrations!$H$2:$H100,$C56,Registrations!$L$2:$L100,"&lt;&gt;Hủy",Registrations!$L$2:$L100,"&lt;&gt;Từ chối")</f>
        <v>0</v>
      </c>
      <c r="G56" s="9" t="str">
        <f>IFERROR(__xludf.DUMMYFUNCTION("IFERROR(INDEX(FILTER(Registrations!$D$2:$D100,Registrations!$H$2:$H100=$C56,Registrations!$L$2:$L100&lt;&gt;""Hủy"",Registrations!$L$2:$L100&lt;&gt;""Từ chối""),1),"""")"),"")</f>
        <v/>
      </c>
      <c r="H56" s="9" t="str">
        <f>IFERROR(__xludf.DUMMYFUNCTION("IFERROR(INDEX(FILTER(Registrations!$E$2:$E100,Registrations!$H$2:$H100=$C56,Registrations!$L$2:$L100&lt;&gt;""Hủy"",Registrations!$L$2:$L100&lt;&gt;""Từ chối""),1),"""")"),"")</f>
        <v/>
      </c>
      <c r="I56" s="9" t="str">
        <f>IFERROR(__xludf.DUMMYFUNCTION("IF(F56=0,"""",IF(IFERROR(INDEX(FILTER(Registrations!$F$2:$F100,Registrations!$H$2:$H100=$C56,Registrations!$L$2:$L100&lt;&gt;""Hủy"",Registrations!$L$2:$L100&lt;&gt;""Từ chối""),1),"""")=$A56,""Khớp"",""Sai kho""))"),"")</f>
        <v/>
      </c>
      <c r="J56" s="5" t="s">
        <v>307</v>
      </c>
      <c r="K56" s="15">
        <v>1.5395E7</v>
      </c>
    </row>
    <row r="57">
      <c r="A57" s="5" t="s">
        <v>35</v>
      </c>
      <c r="B57" s="6">
        <v>56.0</v>
      </c>
      <c r="C57" s="7" t="s">
        <v>460</v>
      </c>
      <c r="D57" s="5" t="s">
        <v>461</v>
      </c>
      <c r="E57" s="9" t="str">
        <f t="shared" si="1"/>
        <v>Còn trống</v>
      </c>
      <c r="F57" s="9">
        <f>COUNTIFS(Registrations!$H$2:$H100,$C57,Registrations!$L$2:$L100,"&lt;&gt;Hủy",Registrations!$L$2:$L100,"&lt;&gt;Từ chối")</f>
        <v>0</v>
      </c>
      <c r="G57" s="9" t="str">
        <f>IFERROR(__xludf.DUMMYFUNCTION("IFERROR(INDEX(FILTER(Registrations!$D$2:$D100,Registrations!$H$2:$H100=$C57,Registrations!$L$2:$L100&lt;&gt;""Hủy"",Registrations!$L$2:$L100&lt;&gt;""Từ chối""),1),"""")"),"")</f>
        <v/>
      </c>
      <c r="H57" s="9" t="str">
        <f>IFERROR(__xludf.DUMMYFUNCTION("IFERROR(INDEX(FILTER(Registrations!$E$2:$E100,Registrations!$H$2:$H100=$C57,Registrations!$L$2:$L100&lt;&gt;""Hủy"",Registrations!$L$2:$L100&lt;&gt;""Từ chối""),1),"""")"),"")</f>
        <v/>
      </c>
      <c r="I57" s="9" t="str">
        <f>IFERROR(__xludf.DUMMYFUNCTION("IF(F57=0,"""",IF(IFERROR(INDEX(FILTER(Registrations!$F$2:$F100,Registrations!$H$2:$H100=$C57,Registrations!$L$2:$L100&lt;&gt;""Hủy"",Registrations!$L$2:$L100&lt;&gt;""Từ chối""),1),"""")=$A57,""Khớp"",""Sai kho""))"),"")</f>
        <v/>
      </c>
      <c r="J57" s="5" t="s">
        <v>307</v>
      </c>
      <c r="K57" s="15">
        <v>8745000.0</v>
      </c>
    </row>
    <row r="58">
      <c r="A58" s="5" t="s">
        <v>35</v>
      </c>
      <c r="B58" s="6">
        <v>57.0</v>
      </c>
      <c r="C58" s="7" t="s">
        <v>462</v>
      </c>
      <c r="D58" s="5" t="s">
        <v>461</v>
      </c>
      <c r="E58" s="9" t="str">
        <f t="shared" si="1"/>
        <v>Còn trống</v>
      </c>
      <c r="F58" s="9">
        <f>COUNTIFS(Registrations!$H$2:$H100,$C58,Registrations!$L$2:$L100,"&lt;&gt;Hủy",Registrations!$L$2:$L100,"&lt;&gt;Từ chối")</f>
        <v>0</v>
      </c>
      <c r="G58" s="9" t="str">
        <f>IFERROR(__xludf.DUMMYFUNCTION("IFERROR(INDEX(FILTER(Registrations!$D$2:$D100,Registrations!$H$2:$H100=$C58,Registrations!$L$2:$L100&lt;&gt;""Hủy"",Registrations!$L$2:$L100&lt;&gt;""Từ chối""),1),"""")"),"")</f>
        <v/>
      </c>
      <c r="H58" s="9" t="str">
        <f>IFERROR(__xludf.DUMMYFUNCTION("IFERROR(INDEX(FILTER(Registrations!$E$2:$E100,Registrations!$H$2:$H100=$C58,Registrations!$L$2:$L100&lt;&gt;""Hủy"",Registrations!$L$2:$L100&lt;&gt;""Từ chối""),1),"""")"),"")</f>
        <v/>
      </c>
      <c r="I58" s="9" t="str">
        <f>IFERROR(__xludf.DUMMYFUNCTION("IF(F58=0,"""",IF(IFERROR(INDEX(FILTER(Registrations!$F$2:$F100,Registrations!$H$2:$H100=$C58,Registrations!$L$2:$L100&lt;&gt;""Hủy"",Registrations!$L$2:$L100&lt;&gt;""Từ chối""),1),"""")=$A58,""Khớp"",""Sai kho""))"),"")</f>
        <v/>
      </c>
      <c r="J58" s="5" t="s">
        <v>307</v>
      </c>
      <c r="K58" s="15">
        <v>8745000.0</v>
      </c>
    </row>
    <row r="59">
      <c r="A59" s="5" t="s">
        <v>35</v>
      </c>
      <c r="B59" s="6">
        <v>58.0</v>
      </c>
      <c r="C59" s="7" t="s">
        <v>463</v>
      </c>
      <c r="D59" s="5" t="s">
        <v>461</v>
      </c>
      <c r="E59" s="9" t="str">
        <f t="shared" si="1"/>
        <v>Còn trống</v>
      </c>
      <c r="F59" s="9">
        <f>COUNTIFS(Registrations!$H$2:$H100,$C59,Registrations!$L$2:$L100,"&lt;&gt;Hủy",Registrations!$L$2:$L100,"&lt;&gt;Từ chối")</f>
        <v>0</v>
      </c>
      <c r="G59" s="9" t="str">
        <f>IFERROR(__xludf.DUMMYFUNCTION("IFERROR(INDEX(FILTER(Registrations!$D$2:$D100,Registrations!$H$2:$H100=$C59,Registrations!$L$2:$L100&lt;&gt;""Hủy"",Registrations!$L$2:$L100&lt;&gt;""Từ chối""),1),"""")"),"")</f>
        <v/>
      </c>
      <c r="H59" s="9" t="str">
        <f>IFERROR(__xludf.DUMMYFUNCTION("IFERROR(INDEX(FILTER(Registrations!$E$2:$E100,Registrations!$H$2:$H100=$C59,Registrations!$L$2:$L100&lt;&gt;""Hủy"",Registrations!$L$2:$L100&lt;&gt;""Từ chối""),1),"""")"),"")</f>
        <v/>
      </c>
      <c r="I59" s="9" t="str">
        <f>IFERROR(__xludf.DUMMYFUNCTION("IF(F59=0,"""",IF(IFERROR(INDEX(FILTER(Registrations!$F$2:$F100,Registrations!$H$2:$H100=$C59,Registrations!$L$2:$L100&lt;&gt;""Hủy"",Registrations!$L$2:$L100&lt;&gt;""Từ chối""),1),"""")=$A59,""Khớp"",""Sai kho""))"),"")</f>
        <v/>
      </c>
      <c r="J59" s="5" t="s">
        <v>307</v>
      </c>
      <c r="K59" s="15">
        <v>8745000.0</v>
      </c>
    </row>
    <row r="60">
      <c r="A60" s="5" t="s">
        <v>35</v>
      </c>
      <c r="B60" s="6">
        <v>59.0</v>
      </c>
      <c r="C60" s="7" t="s">
        <v>464</v>
      </c>
      <c r="D60" s="5" t="s">
        <v>461</v>
      </c>
      <c r="E60" s="9" t="str">
        <f t="shared" si="1"/>
        <v>Còn trống</v>
      </c>
      <c r="F60" s="9">
        <f>COUNTIFS(Registrations!$H$2:$H100,$C60,Registrations!$L$2:$L100,"&lt;&gt;Hủy",Registrations!$L$2:$L100,"&lt;&gt;Từ chối")</f>
        <v>0</v>
      </c>
      <c r="G60" s="9" t="str">
        <f>IFERROR(__xludf.DUMMYFUNCTION("IFERROR(INDEX(FILTER(Registrations!$D$2:$D100,Registrations!$H$2:$H100=$C60,Registrations!$L$2:$L100&lt;&gt;""Hủy"",Registrations!$L$2:$L100&lt;&gt;""Từ chối""),1),"""")"),"")</f>
        <v/>
      </c>
      <c r="H60" s="9" t="str">
        <f>IFERROR(__xludf.DUMMYFUNCTION("IFERROR(INDEX(FILTER(Registrations!$E$2:$E100,Registrations!$H$2:$H100=$C60,Registrations!$L$2:$L100&lt;&gt;""Hủy"",Registrations!$L$2:$L100&lt;&gt;""Từ chối""),1),"""")"),"")</f>
        <v/>
      </c>
      <c r="I60" s="9" t="str">
        <f>IFERROR(__xludf.DUMMYFUNCTION("IF(F60=0,"""",IF(IFERROR(INDEX(FILTER(Registrations!$F$2:$F100,Registrations!$H$2:$H100=$C60,Registrations!$L$2:$L100&lt;&gt;""Hủy"",Registrations!$L$2:$L100&lt;&gt;""Từ chối""),1),"""")=$A60,""Khớp"",""Sai kho""))"),"")</f>
        <v/>
      </c>
      <c r="J60" s="5" t="s">
        <v>307</v>
      </c>
      <c r="K60" s="15">
        <v>8745000.0</v>
      </c>
    </row>
    <row r="61">
      <c r="A61" s="5" t="s">
        <v>35</v>
      </c>
      <c r="B61" s="6">
        <v>60.0</v>
      </c>
      <c r="C61" s="7" t="s">
        <v>465</v>
      </c>
      <c r="D61" s="5" t="s">
        <v>461</v>
      </c>
      <c r="E61" s="9" t="str">
        <f t="shared" si="1"/>
        <v>Còn trống</v>
      </c>
      <c r="F61" s="9">
        <f>COUNTIFS(Registrations!$H$2:$H100,$C61,Registrations!$L$2:$L100,"&lt;&gt;Hủy",Registrations!$L$2:$L100,"&lt;&gt;Từ chối")</f>
        <v>0</v>
      </c>
      <c r="G61" s="9" t="str">
        <f>IFERROR(__xludf.DUMMYFUNCTION("IFERROR(INDEX(FILTER(Registrations!$D$2:$D100,Registrations!$H$2:$H100=$C61,Registrations!$L$2:$L100&lt;&gt;""Hủy"",Registrations!$L$2:$L100&lt;&gt;""Từ chối""),1),"""")"),"")</f>
        <v/>
      </c>
      <c r="H61" s="9" t="str">
        <f>IFERROR(__xludf.DUMMYFUNCTION("IFERROR(INDEX(FILTER(Registrations!$E$2:$E100,Registrations!$H$2:$H100=$C61,Registrations!$L$2:$L100&lt;&gt;""Hủy"",Registrations!$L$2:$L100&lt;&gt;""Từ chối""),1),"""")"),"")</f>
        <v/>
      </c>
      <c r="I61" s="9" t="str">
        <f>IFERROR(__xludf.DUMMYFUNCTION("IF(F61=0,"""",IF(IFERROR(INDEX(FILTER(Registrations!$F$2:$F100,Registrations!$H$2:$H100=$C61,Registrations!$L$2:$L100&lt;&gt;""Hủy"",Registrations!$L$2:$L100&lt;&gt;""Từ chối""),1),"""")=$A61,""Khớp"",""Sai kho""))"),"")</f>
        <v/>
      </c>
      <c r="J61" s="5" t="s">
        <v>307</v>
      </c>
      <c r="K61" s="15">
        <v>8745000.0</v>
      </c>
    </row>
    <row r="62">
      <c r="A62" s="5" t="s">
        <v>35</v>
      </c>
      <c r="B62" s="6">
        <v>61.0</v>
      </c>
      <c r="C62" s="7" t="s">
        <v>466</v>
      </c>
      <c r="D62" s="5" t="s">
        <v>461</v>
      </c>
      <c r="E62" s="9" t="str">
        <f t="shared" si="1"/>
        <v>Còn trống</v>
      </c>
      <c r="F62" s="9">
        <f>COUNTIFS(Registrations!$H$2:$H100,$C62,Registrations!$L$2:$L100,"&lt;&gt;Hủy",Registrations!$L$2:$L100,"&lt;&gt;Từ chối")</f>
        <v>0</v>
      </c>
      <c r="G62" s="9" t="str">
        <f>IFERROR(__xludf.DUMMYFUNCTION("IFERROR(INDEX(FILTER(Registrations!$D$2:$D100,Registrations!$H$2:$H100=$C62,Registrations!$L$2:$L100&lt;&gt;""Hủy"",Registrations!$L$2:$L100&lt;&gt;""Từ chối""),1),"""")"),"")</f>
        <v/>
      </c>
      <c r="H62" s="9" t="str">
        <f>IFERROR(__xludf.DUMMYFUNCTION("IFERROR(INDEX(FILTER(Registrations!$E$2:$E100,Registrations!$H$2:$H100=$C62,Registrations!$L$2:$L100&lt;&gt;""Hủy"",Registrations!$L$2:$L100&lt;&gt;""Từ chối""),1),"""")"),"")</f>
        <v/>
      </c>
      <c r="I62" s="9" t="str">
        <f>IFERROR(__xludf.DUMMYFUNCTION("IF(F62=0,"""",IF(IFERROR(INDEX(FILTER(Registrations!$F$2:$F100,Registrations!$H$2:$H100=$C62,Registrations!$L$2:$L100&lt;&gt;""Hủy"",Registrations!$L$2:$L100&lt;&gt;""Từ chối""),1),"""")=$A62,""Khớp"",""Sai kho""))"),"")</f>
        <v/>
      </c>
      <c r="J62" s="5" t="s">
        <v>307</v>
      </c>
      <c r="K62" s="15">
        <v>8745000.0</v>
      </c>
    </row>
    <row r="63">
      <c r="A63" s="5" t="s">
        <v>35</v>
      </c>
      <c r="B63" s="6">
        <v>62.0</v>
      </c>
      <c r="C63" s="7" t="s">
        <v>467</v>
      </c>
      <c r="D63" s="5" t="s">
        <v>461</v>
      </c>
      <c r="E63" s="9" t="str">
        <f t="shared" si="1"/>
        <v>Còn trống</v>
      </c>
      <c r="F63" s="9">
        <f>COUNTIFS(Registrations!$H$2:$H100,$C63,Registrations!$L$2:$L100,"&lt;&gt;Hủy",Registrations!$L$2:$L100,"&lt;&gt;Từ chối")</f>
        <v>0</v>
      </c>
      <c r="G63" s="9" t="str">
        <f>IFERROR(__xludf.DUMMYFUNCTION("IFERROR(INDEX(FILTER(Registrations!$D$2:$D100,Registrations!$H$2:$H100=$C63,Registrations!$L$2:$L100&lt;&gt;""Hủy"",Registrations!$L$2:$L100&lt;&gt;""Từ chối""),1),"""")"),"")</f>
        <v/>
      </c>
      <c r="H63" s="9" t="str">
        <f>IFERROR(__xludf.DUMMYFUNCTION("IFERROR(INDEX(FILTER(Registrations!$E$2:$E100,Registrations!$H$2:$H100=$C63,Registrations!$L$2:$L100&lt;&gt;""Hủy"",Registrations!$L$2:$L100&lt;&gt;""Từ chối""),1),"""")"),"")</f>
        <v/>
      </c>
      <c r="I63" s="9" t="str">
        <f>IFERROR(__xludf.DUMMYFUNCTION("IF(F63=0,"""",IF(IFERROR(INDEX(FILTER(Registrations!$F$2:$F100,Registrations!$H$2:$H100=$C63,Registrations!$L$2:$L100&lt;&gt;""Hủy"",Registrations!$L$2:$L100&lt;&gt;""Từ chối""),1),"""")=$A63,""Khớp"",""Sai kho""))"),"")</f>
        <v/>
      </c>
      <c r="J63" s="5" t="s">
        <v>307</v>
      </c>
      <c r="K63" s="15">
        <v>8745000.0</v>
      </c>
    </row>
    <row r="64">
      <c r="A64" s="5" t="s">
        <v>35</v>
      </c>
      <c r="B64" s="6">
        <v>63.0</v>
      </c>
      <c r="C64" s="7" t="s">
        <v>468</v>
      </c>
      <c r="D64" s="5" t="s">
        <v>469</v>
      </c>
      <c r="E64" s="9" t="str">
        <f t="shared" si="1"/>
        <v>Còn trống</v>
      </c>
      <c r="F64" s="9">
        <f>COUNTIFS(Registrations!$H$2:$H100,$C64,Registrations!$L$2:$L100,"&lt;&gt;Hủy",Registrations!$L$2:$L100,"&lt;&gt;Từ chối")</f>
        <v>0</v>
      </c>
      <c r="G64" s="9" t="str">
        <f>IFERROR(__xludf.DUMMYFUNCTION("IFERROR(INDEX(FILTER(Registrations!$D$2:$D100,Registrations!$H$2:$H100=$C64,Registrations!$L$2:$L100&lt;&gt;""Hủy"",Registrations!$L$2:$L100&lt;&gt;""Từ chối""),1),"""")"),"")</f>
        <v/>
      </c>
      <c r="H64" s="9" t="str">
        <f>IFERROR(__xludf.DUMMYFUNCTION("IFERROR(INDEX(FILTER(Registrations!$E$2:$E100,Registrations!$H$2:$H100=$C64,Registrations!$L$2:$L100&lt;&gt;""Hủy"",Registrations!$L$2:$L100&lt;&gt;""Từ chối""),1),"""")"),"")</f>
        <v/>
      </c>
      <c r="I64" s="9" t="str">
        <f>IFERROR(__xludf.DUMMYFUNCTION("IF(F64=0,"""",IF(IFERROR(INDEX(FILTER(Registrations!$F$2:$F100,Registrations!$H$2:$H100=$C64,Registrations!$L$2:$L100&lt;&gt;""Hủy"",Registrations!$L$2:$L100&lt;&gt;""Từ chối""),1),"""")=$A64,""Khớp"",""Sai kho""))"),"")</f>
        <v/>
      </c>
      <c r="J64" s="5" t="s">
        <v>307</v>
      </c>
      <c r="K64" s="15">
        <v>9245000.0</v>
      </c>
    </row>
    <row r="65">
      <c r="A65" s="5" t="s">
        <v>35</v>
      </c>
      <c r="B65" s="6">
        <v>64.0</v>
      </c>
      <c r="C65" s="7" t="s">
        <v>470</v>
      </c>
      <c r="D65" s="5" t="s">
        <v>469</v>
      </c>
      <c r="E65" s="9" t="str">
        <f t="shared" si="1"/>
        <v>Còn trống</v>
      </c>
      <c r="F65" s="9">
        <f>COUNTIFS(Registrations!$H$2:$H100,$C65,Registrations!$L$2:$L100,"&lt;&gt;Hủy",Registrations!$L$2:$L100,"&lt;&gt;Từ chối")</f>
        <v>0</v>
      </c>
      <c r="G65" s="9" t="str">
        <f>IFERROR(__xludf.DUMMYFUNCTION("IFERROR(INDEX(FILTER(Registrations!$D$2:$D100,Registrations!$H$2:$H100=$C65,Registrations!$L$2:$L100&lt;&gt;""Hủy"",Registrations!$L$2:$L100&lt;&gt;""Từ chối""),1),"""")"),"")</f>
        <v/>
      </c>
      <c r="H65" s="9" t="str">
        <f>IFERROR(__xludf.DUMMYFUNCTION("IFERROR(INDEX(FILTER(Registrations!$E$2:$E100,Registrations!$H$2:$H100=$C65,Registrations!$L$2:$L100&lt;&gt;""Hủy"",Registrations!$L$2:$L100&lt;&gt;""Từ chối""),1),"""")"),"")</f>
        <v/>
      </c>
      <c r="I65" s="9" t="str">
        <f>IFERROR(__xludf.DUMMYFUNCTION("IF(F65=0,"""",IF(IFERROR(INDEX(FILTER(Registrations!$F$2:$F100,Registrations!$H$2:$H100=$C65,Registrations!$L$2:$L100&lt;&gt;""Hủy"",Registrations!$L$2:$L100&lt;&gt;""Từ chối""),1),"""")=$A65,""Khớp"",""Sai kho""))"),"")</f>
        <v/>
      </c>
      <c r="J65" s="5" t="s">
        <v>307</v>
      </c>
      <c r="K65" s="15">
        <v>9245000.0</v>
      </c>
    </row>
    <row r="66">
      <c r="A66" s="5" t="s">
        <v>35</v>
      </c>
      <c r="B66" s="6">
        <v>65.0</v>
      </c>
      <c r="C66" s="7" t="s">
        <v>471</v>
      </c>
      <c r="D66" s="5" t="s">
        <v>472</v>
      </c>
      <c r="E66" s="9" t="str">
        <f t="shared" si="1"/>
        <v>Còn trống</v>
      </c>
      <c r="F66" s="9">
        <f>COUNTIFS(Registrations!$H$2:$H100,$C66,Registrations!$L$2:$L100,"&lt;&gt;Hủy",Registrations!$L$2:$L100,"&lt;&gt;Từ chối")</f>
        <v>0</v>
      </c>
      <c r="G66" s="9" t="str">
        <f>IFERROR(__xludf.DUMMYFUNCTION("IFERROR(INDEX(FILTER(Registrations!$D$2:$D100,Registrations!$H$2:$H100=$C66,Registrations!$L$2:$L100&lt;&gt;""Hủy"",Registrations!$L$2:$L100&lt;&gt;""Từ chối""),1),"""")"),"")</f>
        <v/>
      </c>
      <c r="H66" s="9" t="str">
        <f>IFERROR(__xludf.DUMMYFUNCTION("IFERROR(INDEX(FILTER(Registrations!$E$2:$E100,Registrations!$H$2:$H100=$C66,Registrations!$L$2:$L100&lt;&gt;""Hủy"",Registrations!$L$2:$L100&lt;&gt;""Từ chối""),1),"""")"),"")</f>
        <v/>
      </c>
      <c r="I66" s="9" t="str">
        <f>IFERROR(__xludf.DUMMYFUNCTION("IF(F66=0,"""",IF(IFERROR(INDEX(FILTER(Registrations!$F$2:$F100,Registrations!$H$2:$H100=$C66,Registrations!$L$2:$L100&lt;&gt;""Hủy"",Registrations!$L$2:$L100&lt;&gt;""Từ chối""),1),"""")=$A66,""Khớp"",""Sai kho""))"),"")</f>
        <v/>
      </c>
      <c r="J66" s="5" t="s">
        <v>307</v>
      </c>
      <c r="K66" s="15">
        <v>6295000.0</v>
      </c>
    </row>
    <row r="67">
      <c r="A67" s="5" t="s">
        <v>35</v>
      </c>
      <c r="B67" s="6">
        <v>66.0</v>
      </c>
      <c r="C67" s="7" t="s">
        <v>473</v>
      </c>
      <c r="D67" s="5" t="s">
        <v>472</v>
      </c>
      <c r="E67" s="9" t="str">
        <f t="shared" si="1"/>
        <v>Còn trống</v>
      </c>
      <c r="F67" s="9">
        <f>COUNTIFS(Registrations!$H$2:$H100,$C67,Registrations!$L$2:$L100,"&lt;&gt;Hủy",Registrations!$L$2:$L100,"&lt;&gt;Từ chối")</f>
        <v>0</v>
      </c>
      <c r="G67" s="9" t="str">
        <f>IFERROR(__xludf.DUMMYFUNCTION("IFERROR(INDEX(FILTER(Registrations!$D$2:$D100,Registrations!$H$2:$H100=$C67,Registrations!$L$2:$L100&lt;&gt;""Hủy"",Registrations!$L$2:$L100&lt;&gt;""Từ chối""),1),"""")"),"")</f>
        <v/>
      </c>
      <c r="H67" s="9" t="str">
        <f>IFERROR(__xludf.DUMMYFUNCTION("IFERROR(INDEX(FILTER(Registrations!$E$2:$E100,Registrations!$H$2:$H100=$C67,Registrations!$L$2:$L100&lt;&gt;""Hủy"",Registrations!$L$2:$L100&lt;&gt;""Từ chối""),1),"""")"),"")</f>
        <v/>
      </c>
      <c r="I67" s="9" t="str">
        <f>IFERROR(__xludf.DUMMYFUNCTION("IF(F67=0,"""",IF(IFERROR(INDEX(FILTER(Registrations!$F$2:$F100,Registrations!$H$2:$H100=$C67,Registrations!$L$2:$L100&lt;&gt;""Hủy"",Registrations!$L$2:$L100&lt;&gt;""Từ chối""),1),"""")=$A67,""Khớp"",""Sai kho""))"),"")</f>
        <v/>
      </c>
      <c r="J67" s="5" t="s">
        <v>307</v>
      </c>
      <c r="K67" s="15">
        <v>6295000.0</v>
      </c>
    </row>
    <row r="68">
      <c r="A68" s="5" t="s">
        <v>35</v>
      </c>
      <c r="B68" s="6">
        <v>67.0</v>
      </c>
      <c r="C68" s="7" t="s">
        <v>474</v>
      </c>
      <c r="D68" s="5" t="s">
        <v>475</v>
      </c>
      <c r="E68" s="9" t="str">
        <f t="shared" si="1"/>
        <v>Còn trống</v>
      </c>
      <c r="F68" s="9">
        <f>COUNTIFS(Registrations!$H$2:$H100,$C68,Registrations!$L$2:$L100,"&lt;&gt;Hủy",Registrations!$L$2:$L100,"&lt;&gt;Từ chối")</f>
        <v>0</v>
      </c>
      <c r="G68" s="9" t="str">
        <f>IFERROR(__xludf.DUMMYFUNCTION("IFERROR(INDEX(FILTER(Registrations!$D$2:$D100,Registrations!$H$2:$H100=$C68,Registrations!$L$2:$L100&lt;&gt;""Hủy"",Registrations!$L$2:$L100&lt;&gt;""Từ chối""),1),"""")"),"")</f>
        <v/>
      </c>
      <c r="H68" s="9" t="str">
        <f>IFERROR(__xludf.DUMMYFUNCTION("IFERROR(INDEX(FILTER(Registrations!$E$2:$E100,Registrations!$H$2:$H100=$C68,Registrations!$L$2:$L100&lt;&gt;""Hủy"",Registrations!$L$2:$L100&lt;&gt;""Từ chối""),1),"""")"),"")</f>
        <v/>
      </c>
      <c r="I68" s="9" t="str">
        <f>IFERROR(__xludf.DUMMYFUNCTION("IF(F68=0,"""",IF(IFERROR(INDEX(FILTER(Registrations!$F$2:$F100,Registrations!$H$2:$H100=$C68,Registrations!$L$2:$L100&lt;&gt;""Hủy"",Registrations!$L$2:$L100&lt;&gt;""Từ chối""),1),"""")=$A68,""Khớp"",""Sai kho""))"),"")</f>
        <v/>
      </c>
      <c r="J68" s="5" t="s">
        <v>307</v>
      </c>
      <c r="K68" s="15">
        <v>4845000.0</v>
      </c>
    </row>
    <row r="69">
      <c r="A69" s="5" t="s">
        <v>35</v>
      </c>
      <c r="B69" s="6">
        <v>68.0</v>
      </c>
      <c r="C69" s="7" t="s">
        <v>476</v>
      </c>
      <c r="D69" s="5" t="s">
        <v>475</v>
      </c>
      <c r="E69" s="9" t="str">
        <f t="shared" si="1"/>
        <v>Còn trống</v>
      </c>
      <c r="F69" s="9">
        <f>COUNTIFS(Registrations!$H$2:$H100,$C69,Registrations!$L$2:$L100,"&lt;&gt;Hủy",Registrations!$L$2:$L100,"&lt;&gt;Từ chối")</f>
        <v>0</v>
      </c>
      <c r="G69" s="9" t="str">
        <f>IFERROR(__xludf.DUMMYFUNCTION("IFERROR(INDEX(FILTER(Registrations!$D$2:$D100,Registrations!$H$2:$H100=$C69,Registrations!$L$2:$L100&lt;&gt;""Hủy"",Registrations!$L$2:$L100&lt;&gt;""Từ chối""),1),"""")"),"")</f>
        <v/>
      </c>
      <c r="H69" s="9" t="str">
        <f>IFERROR(__xludf.DUMMYFUNCTION("IFERROR(INDEX(FILTER(Registrations!$E$2:$E100,Registrations!$H$2:$H100=$C69,Registrations!$L$2:$L100&lt;&gt;""Hủy"",Registrations!$L$2:$L100&lt;&gt;""Từ chối""),1),"""")"),"")</f>
        <v/>
      </c>
      <c r="I69" s="9" t="str">
        <f>IFERROR(__xludf.DUMMYFUNCTION("IF(F69=0,"""",IF(IFERROR(INDEX(FILTER(Registrations!$F$2:$F100,Registrations!$H$2:$H100=$C69,Registrations!$L$2:$L100&lt;&gt;""Hủy"",Registrations!$L$2:$L100&lt;&gt;""Từ chối""),1),"""")=$A69,""Khớp"",""Sai kho""))"),"")</f>
        <v/>
      </c>
      <c r="J69" s="5" t="s">
        <v>307</v>
      </c>
      <c r="K69" s="15">
        <v>4845000.0</v>
      </c>
    </row>
    <row r="70">
      <c r="A70" s="5" t="s">
        <v>23</v>
      </c>
      <c r="B70" s="6">
        <v>69.0</v>
      </c>
      <c r="C70" s="7" t="s">
        <v>477</v>
      </c>
      <c r="D70" s="5" t="s">
        <v>478</v>
      </c>
      <c r="E70" s="9" t="str">
        <f t="shared" si="1"/>
        <v>Còn trống</v>
      </c>
      <c r="F70" s="9">
        <f>COUNTIFS(Registrations!$H$2:$H100,$C70,Registrations!$L$2:$L100,"&lt;&gt;Hủy",Registrations!$L$2:$L100,"&lt;&gt;Từ chối")</f>
        <v>0</v>
      </c>
      <c r="G70" s="9" t="str">
        <f>IFERROR(__xludf.DUMMYFUNCTION("IFERROR(INDEX(FILTER(Registrations!$D$2:$D100,Registrations!$H$2:$H100=$C70,Registrations!$L$2:$L100&lt;&gt;""Hủy"",Registrations!$L$2:$L100&lt;&gt;""Từ chối""),1),"""")"),"")</f>
        <v/>
      </c>
      <c r="H70" s="9" t="str">
        <f>IFERROR(__xludf.DUMMYFUNCTION("IFERROR(INDEX(FILTER(Registrations!$E$2:$E100,Registrations!$H$2:$H100=$C70,Registrations!$L$2:$L100&lt;&gt;""Hủy"",Registrations!$L$2:$L100&lt;&gt;""Từ chối""),1),"""")"),"")</f>
        <v/>
      </c>
      <c r="I70" s="9" t="str">
        <f>IFERROR(__xludf.DUMMYFUNCTION("IF(F70=0,"""",IF(IFERROR(INDEX(FILTER(Registrations!$F$2:$F100,Registrations!$H$2:$H100=$C70,Registrations!$L$2:$L100&lt;&gt;""Hủy"",Registrations!$L$2:$L100&lt;&gt;""Từ chối""),1),"""")=$A70,""Khớp"",""Sai kho""))"),"")</f>
        <v/>
      </c>
      <c r="J70" s="5" t="s">
        <v>307</v>
      </c>
      <c r="K70" s="15">
        <v>1.7095E7</v>
      </c>
    </row>
    <row r="71">
      <c r="A71" s="5" t="s">
        <v>23</v>
      </c>
      <c r="B71" s="6">
        <v>70.0</v>
      </c>
      <c r="C71" s="7" t="s">
        <v>479</v>
      </c>
      <c r="D71" s="5" t="s">
        <v>478</v>
      </c>
      <c r="E71" s="9" t="str">
        <f t="shared" si="1"/>
        <v>Còn trống</v>
      </c>
      <c r="F71" s="9">
        <f>COUNTIFS(Registrations!$H$2:$H100,$C71,Registrations!$L$2:$L100,"&lt;&gt;Hủy",Registrations!$L$2:$L100,"&lt;&gt;Từ chối")</f>
        <v>0</v>
      </c>
      <c r="G71" s="9" t="str">
        <f>IFERROR(__xludf.DUMMYFUNCTION("IFERROR(INDEX(FILTER(Registrations!$D$2:$D100,Registrations!$H$2:$H100=$C71,Registrations!$L$2:$L100&lt;&gt;""Hủy"",Registrations!$L$2:$L100&lt;&gt;""Từ chối""),1),"""")"),"")</f>
        <v/>
      </c>
      <c r="H71" s="9" t="str">
        <f>IFERROR(__xludf.DUMMYFUNCTION("IFERROR(INDEX(FILTER(Registrations!$E$2:$E100,Registrations!$H$2:$H100=$C71,Registrations!$L$2:$L100&lt;&gt;""Hủy"",Registrations!$L$2:$L100&lt;&gt;""Từ chối""),1),"""")"),"")</f>
        <v/>
      </c>
      <c r="I71" s="9" t="str">
        <f>IFERROR(__xludf.DUMMYFUNCTION("IF(F71=0,"""",IF(IFERROR(INDEX(FILTER(Registrations!$F$2:$F100,Registrations!$H$2:$H100=$C71,Registrations!$L$2:$L100&lt;&gt;""Hủy"",Registrations!$L$2:$L100&lt;&gt;""Từ chối""),1),"""")=$A71,""Khớp"",""Sai kho""))"),"")</f>
        <v/>
      </c>
      <c r="J71" s="5" t="s">
        <v>307</v>
      </c>
      <c r="K71" s="15">
        <v>1.7095E7</v>
      </c>
    </row>
    <row r="72">
      <c r="A72" s="5" t="s">
        <v>23</v>
      </c>
      <c r="B72" s="6">
        <v>71.0</v>
      </c>
      <c r="C72" s="7" t="s">
        <v>480</v>
      </c>
      <c r="D72" s="5" t="s">
        <v>452</v>
      </c>
      <c r="E72" s="9" t="str">
        <f t="shared" si="1"/>
        <v>Còn trống</v>
      </c>
      <c r="F72" s="9">
        <f>COUNTIFS(Registrations!$H$2:$H100,$C72,Registrations!$L$2:$L100,"&lt;&gt;Hủy",Registrations!$L$2:$L100,"&lt;&gt;Từ chối")</f>
        <v>0</v>
      </c>
      <c r="G72" s="9" t="str">
        <f>IFERROR(__xludf.DUMMYFUNCTION("IFERROR(INDEX(FILTER(Registrations!$D$2:$D100,Registrations!$H$2:$H100=$C72,Registrations!$L$2:$L100&lt;&gt;""Hủy"",Registrations!$L$2:$L100&lt;&gt;""Từ chối""),1),"""")"),"")</f>
        <v/>
      </c>
      <c r="H72" s="9" t="str">
        <f>IFERROR(__xludf.DUMMYFUNCTION("IFERROR(INDEX(FILTER(Registrations!$E$2:$E100,Registrations!$H$2:$H100=$C72,Registrations!$L$2:$L100&lt;&gt;""Hủy"",Registrations!$L$2:$L100&lt;&gt;""Từ chối""),1),"""")"),"")</f>
        <v/>
      </c>
      <c r="I72" s="9" t="str">
        <f>IFERROR(__xludf.DUMMYFUNCTION("IF(F72=0,"""",IF(IFERROR(INDEX(FILTER(Registrations!$F$2:$F100,Registrations!$H$2:$H100=$C72,Registrations!$L$2:$L100&lt;&gt;""Hủy"",Registrations!$L$2:$L100&lt;&gt;""Từ chối""),1),"""")=$A72,""Khớp"",""Sai kho""))"),"")</f>
        <v/>
      </c>
      <c r="J72" s="5" t="s">
        <v>307</v>
      </c>
      <c r="K72" s="15">
        <v>1.5395E7</v>
      </c>
    </row>
    <row r="73">
      <c r="A73" s="5" t="s">
        <v>23</v>
      </c>
      <c r="B73" s="6">
        <v>72.0</v>
      </c>
      <c r="C73" s="7" t="s">
        <v>481</v>
      </c>
      <c r="D73" s="5" t="s">
        <v>452</v>
      </c>
      <c r="E73" s="9" t="str">
        <f t="shared" si="1"/>
        <v>Còn trống</v>
      </c>
      <c r="F73" s="9">
        <f>COUNTIFS(Registrations!$H$2:$H100,$C73,Registrations!$L$2:$L100,"&lt;&gt;Hủy",Registrations!$L$2:$L100,"&lt;&gt;Từ chối")</f>
        <v>0</v>
      </c>
      <c r="G73" s="9" t="str">
        <f>IFERROR(__xludf.DUMMYFUNCTION("IFERROR(INDEX(FILTER(Registrations!$D$2:$D100,Registrations!$H$2:$H100=$C73,Registrations!$L$2:$L100&lt;&gt;""Hủy"",Registrations!$L$2:$L100&lt;&gt;""Từ chối""),1),"""")"),"")</f>
        <v/>
      </c>
      <c r="H73" s="9" t="str">
        <f>IFERROR(__xludf.DUMMYFUNCTION("IFERROR(INDEX(FILTER(Registrations!$E$2:$E100,Registrations!$H$2:$H100=$C73,Registrations!$L$2:$L100&lt;&gt;""Hủy"",Registrations!$L$2:$L100&lt;&gt;""Từ chối""),1),"""")"),"")</f>
        <v/>
      </c>
      <c r="I73" s="9" t="str">
        <f>IFERROR(__xludf.DUMMYFUNCTION("IF(F73=0,"""",IF(IFERROR(INDEX(FILTER(Registrations!$F$2:$F100,Registrations!$H$2:$H100=$C73,Registrations!$L$2:$L100&lt;&gt;""Hủy"",Registrations!$L$2:$L100&lt;&gt;""Từ chối""),1),"""")=$A73,""Khớp"",""Sai kho""))"),"")</f>
        <v/>
      </c>
      <c r="J73" s="5" t="s">
        <v>307</v>
      </c>
      <c r="K73" s="15">
        <v>1.5395E7</v>
      </c>
    </row>
    <row r="74">
      <c r="A74" s="5" t="s">
        <v>23</v>
      </c>
      <c r="B74" s="6">
        <v>73.0</v>
      </c>
      <c r="C74" s="7" t="s">
        <v>482</v>
      </c>
      <c r="D74" s="5" t="s">
        <v>452</v>
      </c>
      <c r="E74" s="9" t="str">
        <f t="shared" si="1"/>
        <v>Còn trống</v>
      </c>
      <c r="F74" s="9">
        <f>COUNTIFS(Registrations!$H$2:$H100,$C74,Registrations!$L$2:$L100,"&lt;&gt;Hủy",Registrations!$L$2:$L100,"&lt;&gt;Từ chối")</f>
        <v>0</v>
      </c>
      <c r="G74" s="9" t="str">
        <f>IFERROR(__xludf.DUMMYFUNCTION("IFERROR(INDEX(FILTER(Registrations!$D$2:$D100,Registrations!$H$2:$H100=$C74,Registrations!$L$2:$L100&lt;&gt;""Hủy"",Registrations!$L$2:$L100&lt;&gt;""Từ chối""),1),"""")"),"")</f>
        <v/>
      </c>
      <c r="H74" s="9" t="str">
        <f>IFERROR(__xludf.DUMMYFUNCTION("IFERROR(INDEX(FILTER(Registrations!$E$2:$E100,Registrations!$H$2:$H100=$C74,Registrations!$L$2:$L100&lt;&gt;""Hủy"",Registrations!$L$2:$L100&lt;&gt;""Từ chối""),1),"""")"),"")</f>
        <v/>
      </c>
      <c r="I74" s="9" t="str">
        <f>IFERROR(__xludf.DUMMYFUNCTION("IF(F74=0,"""",IF(IFERROR(INDEX(FILTER(Registrations!$F$2:$F100,Registrations!$H$2:$H100=$C74,Registrations!$L$2:$L100&lt;&gt;""Hủy"",Registrations!$L$2:$L100&lt;&gt;""Từ chối""),1),"""")=$A74,""Khớp"",""Sai kho""))"),"")</f>
        <v/>
      </c>
      <c r="J74" s="5" t="s">
        <v>307</v>
      </c>
      <c r="K74" s="15">
        <v>1.5395E7</v>
      </c>
    </row>
    <row r="75">
      <c r="A75" s="5" t="s">
        <v>23</v>
      </c>
      <c r="B75" s="6">
        <v>74.0</v>
      </c>
      <c r="C75" s="7" t="s">
        <v>483</v>
      </c>
      <c r="D75" s="5" t="s">
        <v>452</v>
      </c>
      <c r="E75" s="9" t="str">
        <f t="shared" si="1"/>
        <v>Còn trống</v>
      </c>
      <c r="F75" s="9">
        <f>COUNTIFS(Registrations!$H$2:$H100,$C75,Registrations!$L$2:$L100,"&lt;&gt;Hủy",Registrations!$L$2:$L100,"&lt;&gt;Từ chối")</f>
        <v>0</v>
      </c>
      <c r="G75" s="9" t="str">
        <f>IFERROR(__xludf.DUMMYFUNCTION("IFERROR(INDEX(FILTER(Registrations!$D$2:$D100,Registrations!$H$2:$H100=$C75,Registrations!$L$2:$L100&lt;&gt;""Hủy"",Registrations!$L$2:$L100&lt;&gt;""Từ chối""),1),"""")"),"")</f>
        <v/>
      </c>
      <c r="H75" s="9" t="str">
        <f>IFERROR(__xludf.DUMMYFUNCTION("IFERROR(INDEX(FILTER(Registrations!$E$2:$E100,Registrations!$H$2:$H100=$C75,Registrations!$L$2:$L100&lt;&gt;""Hủy"",Registrations!$L$2:$L100&lt;&gt;""Từ chối""),1),"""")"),"")</f>
        <v/>
      </c>
      <c r="I75" s="9" t="str">
        <f>IFERROR(__xludf.DUMMYFUNCTION("IF(F75=0,"""",IF(IFERROR(INDEX(FILTER(Registrations!$F$2:$F100,Registrations!$H$2:$H100=$C75,Registrations!$L$2:$L100&lt;&gt;""Hủy"",Registrations!$L$2:$L100&lt;&gt;""Từ chối""),1),"""")=$A75,""Khớp"",""Sai kho""))"),"")</f>
        <v/>
      </c>
      <c r="J75" s="5" t="s">
        <v>307</v>
      </c>
      <c r="K75" s="15">
        <v>1.5395E7</v>
      </c>
    </row>
    <row r="76">
      <c r="A76" s="5" t="s">
        <v>23</v>
      </c>
      <c r="B76" s="6">
        <v>75.0</v>
      </c>
      <c r="C76" s="7" t="s">
        <v>484</v>
      </c>
      <c r="D76" s="5" t="s">
        <v>452</v>
      </c>
      <c r="E76" s="9" t="str">
        <f t="shared" si="1"/>
        <v>Còn trống</v>
      </c>
      <c r="F76" s="9">
        <f>COUNTIFS(Registrations!$H$2:$H100,$C76,Registrations!$L$2:$L100,"&lt;&gt;Hủy",Registrations!$L$2:$L100,"&lt;&gt;Từ chối")</f>
        <v>0</v>
      </c>
      <c r="G76" s="9" t="str">
        <f>IFERROR(__xludf.DUMMYFUNCTION("IFERROR(INDEX(FILTER(Registrations!$D$2:$D100,Registrations!$H$2:$H100=$C76,Registrations!$L$2:$L100&lt;&gt;""Hủy"",Registrations!$L$2:$L100&lt;&gt;""Từ chối""),1),"""")"),"")</f>
        <v/>
      </c>
      <c r="H76" s="9" t="str">
        <f>IFERROR(__xludf.DUMMYFUNCTION("IFERROR(INDEX(FILTER(Registrations!$E$2:$E100,Registrations!$H$2:$H100=$C76,Registrations!$L$2:$L100&lt;&gt;""Hủy"",Registrations!$L$2:$L100&lt;&gt;""Từ chối""),1),"""")"),"")</f>
        <v/>
      </c>
      <c r="I76" s="9" t="str">
        <f>IFERROR(__xludf.DUMMYFUNCTION("IF(F76=0,"""",IF(IFERROR(INDEX(FILTER(Registrations!$F$2:$F100,Registrations!$H$2:$H100=$C76,Registrations!$L$2:$L100&lt;&gt;""Hủy"",Registrations!$L$2:$L100&lt;&gt;""Từ chối""),1),"""")=$A76,""Khớp"",""Sai kho""))"),"")</f>
        <v/>
      </c>
      <c r="J76" s="5" t="s">
        <v>307</v>
      </c>
      <c r="K76" s="15">
        <v>1.5395E7</v>
      </c>
    </row>
    <row r="77">
      <c r="A77" s="5" t="s">
        <v>23</v>
      </c>
      <c r="B77" s="6">
        <v>76.0</v>
      </c>
      <c r="C77" s="7" t="s">
        <v>485</v>
      </c>
      <c r="D77" s="5" t="s">
        <v>452</v>
      </c>
      <c r="E77" s="9" t="str">
        <f t="shared" si="1"/>
        <v>Còn trống</v>
      </c>
      <c r="F77" s="9">
        <f>COUNTIFS(Registrations!$H$2:$H100,$C77,Registrations!$L$2:$L100,"&lt;&gt;Hủy",Registrations!$L$2:$L100,"&lt;&gt;Từ chối")</f>
        <v>0</v>
      </c>
      <c r="G77" s="9" t="str">
        <f>IFERROR(__xludf.DUMMYFUNCTION("IFERROR(INDEX(FILTER(Registrations!$D$2:$D100,Registrations!$H$2:$H100=$C77,Registrations!$L$2:$L100&lt;&gt;""Hủy"",Registrations!$L$2:$L100&lt;&gt;""Từ chối""),1),"""")"),"")</f>
        <v/>
      </c>
      <c r="H77" s="9" t="str">
        <f>IFERROR(__xludf.DUMMYFUNCTION("IFERROR(INDEX(FILTER(Registrations!$E$2:$E100,Registrations!$H$2:$H100=$C77,Registrations!$L$2:$L100&lt;&gt;""Hủy"",Registrations!$L$2:$L100&lt;&gt;""Từ chối""),1),"""")"),"")</f>
        <v/>
      </c>
      <c r="I77" s="9" t="str">
        <f>IFERROR(__xludf.DUMMYFUNCTION("IF(F77=0,"""",IF(IFERROR(INDEX(FILTER(Registrations!$F$2:$F100,Registrations!$H$2:$H100=$C77,Registrations!$L$2:$L100&lt;&gt;""Hủy"",Registrations!$L$2:$L100&lt;&gt;""Từ chối""),1),"""")=$A77,""Khớp"",""Sai kho""))"),"")</f>
        <v/>
      </c>
      <c r="J77" s="5" t="s">
        <v>307</v>
      </c>
      <c r="K77" s="15">
        <v>1.5395E7</v>
      </c>
    </row>
    <row r="78">
      <c r="A78" s="5" t="s">
        <v>23</v>
      </c>
      <c r="B78" s="6">
        <v>77.0</v>
      </c>
      <c r="C78" s="7" t="s">
        <v>486</v>
      </c>
      <c r="D78" s="5" t="s">
        <v>452</v>
      </c>
      <c r="E78" s="9" t="str">
        <f t="shared" si="1"/>
        <v>Còn trống</v>
      </c>
      <c r="F78" s="9">
        <f>COUNTIFS(Registrations!$H$2:$H100,$C78,Registrations!$L$2:$L100,"&lt;&gt;Hủy",Registrations!$L$2:$L100,"&lt;&gt;Từ chối")</f>
        <v>0</v>
      </c>
      <c r="G78" s="9" t="str">
        <f>IFERROR(__xludf.DUMMYFUNCTION("IFERROR(INDEX(FILTER(Registrations!$D$2:$D100,Registrations!$H$2:$H100=$C78,Registrations!$L$2:$L100&lt;&gt;""Hủy"",Registrations!$L$2:$L100&lt;&gt;""Từ chối""),1),"""")"),"")</f>
        <v/>
      </c>
      <c r="H78" s="9" t="str">
        <f>IFERROR(__xludf.DUMMYFUNCTION("IFERROR(INDEX(FILTER(Registrations!$E$2:$E100,Registrations!$H$2:$H100=$C78,Registrations!$L$2:$L100&lt;&gt;""Hủy"",Registrations!$L$2:$L100&lt;&gt;""Từ chối""),1),"""")"),"")</f>
        <v/>
      </c>
      <c r="I78" s="9" t="str">
        <f>IFERROR(__xludf.DUMMYFUNCTION("IF(F78=0,"""",IF(IFERROR(INDEX(FILTER(Registrations!$F$2:$F100,Registrations!$H$2:$H100=$C78,Registrations!$L$2:$L100&lt;&gt;""Hủy"",Registrations!$L$2:$L100&lt;&gt;""Từ chối""),1),"""")=$A78,""Khớp"",""Sai kho""))"),"")</f>
        <v/>
      </c>
      <c r="J78" s="5" t="s">
        <v>307</v>
      </c>
      <c r="K78" s="15">
        <v>1.5395E7</v>
      </c>
    </row>
    <row r="79">
      <c r="A79" s="5" t="s">
        <v>23</v>
      </c>
      <c r="B79" s="6">
        <v>78.0</v>
      </c>
      <c r="C79" s="7" t="s">
        <v>487</v>
      </c>
      <c r="D79" s="5" t="s">
        <v>452</v>
      </c>
      <c r="E79" s="9" t="str">
        <f t="shared" si="1"/>
        <v>Còn trống</v>
      </c>
      <c r="F79" s="9">
        <f>COUNTIFS(Registrations!$H$2:$H100,$C79,Registrations!$L$2:$L100,"&lt;&gt;Hủy",Registrations!$L$2:$L100,"&lt;&gt;Từ chối")</f>
        <v>0</v>
      </c>
      <c r="G79" s="9" t="str">
        <f>IFERROR(__xludf.DUMMYFUNCTION("IFERROR(INDEX(FILTER(Registrations!$D$2:$D100,Registrations!$H$2:$H100=$C79,Registrations!$L$2:$L100&lt;&gt;""Hủy"",Registrations!$L$2:$L100&lt;&gt;""Từ chối""),1),"""")"),"")</f>
        <v/>
      </c>
      <c r="H79" s="9" t="str">
        <f>IFERROR(__xludf.DUMMYFUNCTION("IFERROR(INDEX(FILTER(Registrations!$E$2:$E100,Registrations!$H$2:$H100=$C79,Registrations!$L$2:$L100&lt;&gt;""Hủy"",Registrations!$L$2:$L100&lt;&gt;""Từ chối""),1),"""")"),"")</f>
        <v/>
      </c>
      <c r="I79" s="9" t="str">
        <f>IFERROR(__xludf.DUMMYFUNCTION("IF(F79=0,"""",IF(IFERROR(INDEX(FILTER(Registrations!$F$2:$F100,Registrations!$H$2:$H100=$C79,Registrations!$L$2:$L100&lt;&gt;""Hủy"",Registrations!$L$2:$L100&lt;&gt;""Từ chối""),1),"""")=$A79,""Khớp"",""Sai kho""))"),"")</f>
        <v/>
      </c>
      <c r="J79" s="5" t="s">
        <v>307</v>
      </c>
      <c r="K79" s="15">
        <v>1.5395E7</v>
      </c>
    </row>
    <row r="80">
      <c r="A80" s="5" t="s">
        <v>23</v>
      </c>
      <c r="B80" s="6">
        <v>79.0</v>
      </c>
      <c r="C80" s="7" t="s">
        <v>488</v>
      </c>
      <c r="D80" s="5" t="s">
        <v>452</v>
      </c>
      <c r="E80" s="9" t="str">
        <f t="shared" si="1"/>
        <v>Còn trống</v>
      </c>
      <c r="F80" s="9">
        <f>COUNTIFS(Registrations!$H$2:$H100,$C80,Registrations!$L$2:$L100,"&lt;&gt;Hủy",Registrations!$L$2:$L100,"&lt;&gt;Từ chối")</f>
        <v>0</v>
      </c>
      <c r="G80" s="9" t="str">
        <f>IFERROR(__xludf.DUMMYFUNCTION("IFERROR(INDEX(FILTER(Registrations!$D$2:$D100,Registrations!$H$2:$H100=$C80,Registrations!$L$2:$L100&lt;&gt;""Hủy"",Registrations!$L$2:$L100&lt;&gt;""Từ chối""),1),"""")"),"")</f>
        <v/>
      </c>
      <c r="H80" s="9" t="str">
        <f>IFERROR(__xludf.DUMMYFUNCTION("IFERROR(INDEX(FILTER(Registrations!$E$2:$E100,Registrations!$H$2:$H100=$C80,Registrations!$L$2:$L100&lt;&gt;""Hủy"",Registrations!$L$2:$L100&lt;&gt;""Từ chối""),1),"""")"),"")</f>
        <v/>
      </c>
      <c r="I80" s="9" t="str">
        <f>IFERROR(__xludf.DUMMYFUNCTION("IF(F80=0,"""",IF(IFERROR(INDEX(FILTER(Registrations!$F$2:$F100,Registrations!$H$2:$H100=$C80,Registrations!$L$2:$L100&lt;&gt;""Hủy"",Registrations!$L$2:$L100&lt;&gt;""Từ chối""),1),"""")=$A80,""Khớp"",""Sai kho""))"),"")</f>
        <v/>
      </c>
      <c r="J80" s="5" t="s">
        <v>307</v>
      </c>
      <c r="K80" s="15">
        <v>1.5395E7</v>
      </c>
    </row>
    <row r="81">
      <c r="A81" s="5" t="s">
        <v>23</v>
      </c>
      <c r="B81" s="6">
        <v>80.0</v>
      </c>
      <c r="C81" s="7" t="s">
        <v>489</v>
      </c>
      <c r="D81" s="5" t="s">
        <v>452</v>
      </c>
      <c r="E81" s="9" t="str">
        <f t="shared" si="1"/>
        <v>Còn trống</v>
      </c>
      <c r="F81" s="9">
        <f>COUNTIFS(Registrations!$H$2:$H100,$C81,Registrations!$L$2:$L100,"&lt;&gt;Hủy",Registrations!$L$2:$L100,"&lt;&gt;Từ chối")</f>
        <v>0</v>
      </c>
      <c r="G81" s="9" t="str">
        <f>IFERROR(__xludf.DUMMYFUNCTION("IFERROR(INDEX(FILTER(Registrations!$D$2:$D100,Registrations!$H$2:$H100=$C81,Registrations!$L$2:$L100&lt;&gt;""Hủy"",Registrations!$L$2:$L100&lt;&gt;""Từ chối""),1),"""")"),"")</f>
        <v/>
      </c>
      <c r="H81" s="9" t="str">
        <f>IFERROR(__xludf.DUMMYFUNCTION("IFERROR(INDEX(FILTER(Registrations!$E$2:$E100,Registrations!$H$2:$H100=$C81,Registrations!$L$2:$L100&lt;&gt;""Hủy"",Registrations!$L$2:$L100&lt;&gt;""Từ chối""),1),"""")"),"")</f>
        <v/>
      </c>
      <c r="I81" s="9" t="str">
        <f>IFERROR(__xludf.DUMMYFUNCTION("IF(F81=0,"""",IF(IFERROR(INDEX(FILTER(Registrations!$F$2:$F100,Registrations!$H$2:$H100=$C81,Registrations!$L$2:$L100&lt;&gt;""Hủy"",Registrations!$L$2:$L100&lt;&gt;""Từ chối""),1),"""")=$A81,""Khớp"",""Sai kho""))"),"")</f>
        <v/>
      </c>
      <c r="J81" s="5" t="s">
        <v>307</v>
      </c>
      <c r="K81" s="15">
        <v>1.5395E7</v>
      </c>
    </row>
    <row r="82">
      <c r="A82" s="5" t="s">
        <v>23</v>
      </c>
      <c r="B82" s="6">
        <v>81.0</v>
      </c>
      <c r="C82" s="7" t="s">
        <v>490</v>
      </c>
      <c r="D82" s="5" t="s">
        <v>452</v>
      </c>
      <c r="E82" s="9" t="str">
        <f t="shared" si="1"/>
        <v>Còn trống</v>
      </c>
      <c r="F82" s="9">
        <f>COUNTIFS(Registrations!$H$2:$H100,$C82,Registrations!$L$2:$L100,"&lt;&gt;Hủy",Registrations!$L$2:$L100,"&lt;&gt;Từ chối")</f>
        <v>0</v>
      </c>
      <c r="G82" s="9" t="str">
        <f>IFERROR(__xludf.DUMMYFUNCTION("IFERROR(INDEX(FILTER(Registrations!$D$2:$D100,Registrations!$H$2:$H100=$C82,Registrations!$L$2:$L100&lt;&gt;""Hủy"",Registrations!$L$2:$L100&lt;&gt;""Từ chối""),1),"""")"),"")</f>
        <v/>
      </c>
      <c r="H82" s="9" t="str">
        <f>IFERROR(__xludf.DUMMYFUNCTION("IFERROR(INDEX(FILTER(Registrations!$E$2:$E100,Registrations!$H$2:$H100=$C82,Registrations!$L$2:$L100&lt;&gt;""Hủy"",Registrations!$L$2:$L100&lt;&gt;""Từ chối""),1),"""")"),"")</f>
        <v/>
      </c>
      <c r="I82" s="9" t="str">
        <f>IFERROR(__xludf.DUMMYFUNCTION("IF(F82=0,"""",IF(IFERROR(INDEX(FILTER(Registrations!$F$2:$F100,Registrations!$H$2:$H100=$C82,Registrations!$L$2:$L100&lt;&gt;""Hủy"",Registrations!$L$2:$L100&lt;&gt;""Từ chối""),1),"""")=$A82,""Khớp"",""Sai kho""))"),"")</f>
        <v/>
      </c>
      <c r="J82" s="5" t="s">
        <v>307</v>
      </c>
      <c r="K82" s="15">
        <v>1.5395E7</v>
      </c>
    </row>
    <row r="83">
      <c r="A83" s="5" t="s">
        <v>44</v>
      </c>
      <c r="B83" s="6">
        <v>82.0</v>
      </c>
      <c r="C83" s="7" t="s">
        <v>491</v>
      </c>
      <c r="D83" s="5" t="s">
        <v>472</v>
      </c>
      <c r="E83" s="9" t="str">
        <f t="shared" si="1"/>
        <v>Còn trống</v>
      </c>
      <c r="F83" s="9">
        <f>COUNTIFS(Registrations!$H$2:$H100,$C83,Registrations!$L$2:$L100,"&lt;&gt;Hủy",Registrations!$L$2:$L100,"&lt;&gt;Từ chối")</f>
        <v>0</v>
      </c>
      <c r="G83" s="9" t="str">
        <f>IFERROR(__xludf.DUMMYFUNCTION("IFERROR(INDEX(FILTER(Registrations!$D$2:$D100,Registrations!$H$2:$H100=$C83,Registrations!$L$2:$L100&lt;&gt;""Hủy"",Registrations!$L$2:$L100&lt;&gt;""Từ chối""),1),"""")"),"")</f>
        <v/>
      </c>
      <c r="H83" s="9" t="str">
        <f>IFERROR(__xludf.DUMMYFUNCTION("IFERROR(INDEX(FILTER(Registrations!$E$2:$E100,Registrations!$H$2:$H100=$C83,Registrations!$L$2:$L100&lt;&gt;""Hủy"",Registrations!$L$2:$L100&lt;&gt;""Từ chối""),1),"""")"),"")</f>
        <v/>
      </c>
      <c r="I83" s="9" t="str">
        <f>IFERROR(__xludf.DUMMYFUNCTION("IF(F83=0,"""",IF(IFERROR(INDEX(FILTER(Registrations!$F$2:$F100,Registrations!$H$2:$H100=$C83,Registrations!$L$2:$L100&lt;&gt;""Hủy"",Registrations!$L$2:$L100&lt;&gt;""Từ chối""),1),"""")=$A83,""Khớp"",""Sai kho""))"),"")</f>
        <v/>
      </c>
      <c r="J83" s="5" t="s">
        <v>307</v>
      </c>
      <c r="K83" s="15">
        <v>6295000.0</v>
      </c>
    </row>
    <row r="84">
      <c r="A84" s="5" t="s">
        <v>23</v>
      </c>
      <c r="B84" s="6">
        <v>83.0</v>
      </c>
      <c r="C84" s="7" t="s">
        <v>492</v>
      </c>
      <c r="D84" s="5" t="s">
        <v>493</v>
      </c>
      <c r="E84" s="9" t="str">
        <f t="shared" si="1"/>
        <v>Còn trống</v>
      </c>
      <c r="F84" s="9">
        <f>COUNTIFS(Registrations!$H$2:$H100,$C84,Registrations!$L$2:$L100,"&lt;&gt;Hủy",Registrations!$L$2:$L100,"&lt;&gt;Từ chối")</f>
        <v>0</v>
      </c>
      <c r="G84" s="9" t="str">
        <f>IFERROR(__xludf.DUMMYFUNCTION("IFERROR(INDEX(FILTER(Registrations!$D$2:$D100,Registrations!$H$2:$H100=$C84,Registrations!$L$2:$L100&lt;&gt;""Hủy"",Registrations!$L$2:$L100&lt;&gt;""Từ chối""),1),"""")"),"")</f>
        <v/>
      </c>
      <c r="H84" s="9" t="str">
        <f>IFERROR(__xludf.DUMMYFUNCTION("IFERROR(INDEX(FILTER(Registrations!$E$2:$E100,Registrations!$H$2:$H100=$C84,Registrations!$L$2:$L100&lt;&gt;""Hủy"",Registrations!$L$2:$L100&lt;&gt;""Từ chối""),1),"""")"),"")</f>
        <v/>
      </c>
      <c r="I84" s="9" t="str">
        <f>IFERROR(__xludf.DUMMYFUNCTION("IF(F84=0,"""",IF(IFERROR(INDEX(FILTER(Registrations!$F$2:$F100,Registrations!$H$2:$H100=$C84,Registrations!$L$2:$L100&lt;&gt;""Hủy"",Registrations!$L$2:$L100&lt;&gt;""Từ chối""),1),"""")=$A84,""Khớp"",""Sai kho""))"),"")</f>
        <v/>
      </c>
      <c r="J84" s="5" t="s">
        <v>307</v>
      </c>
      <c r="K84" s="15">
        <v>1.145E7</v>
      </c>
    </row>
    <row r="85">
      <c r="A85" s="5" t="s">
        <v>23</v>
      </c>
      <c r="B85" s="6">
        <v>84.0</v>
      </c>
      <c r="C85" s="7" t="s">
        <v>494</v>
      </c>
      <c r="D85" s="5" t="s">
        <v>493</v>
      </c>
      <c r="E85" s="9" t="str">
        <f t="shared" si="1"/>
        <v>Còn trống</v>
      </c>
      <c r="F85" s="9">
        <f>COUNTIFS(Registrations!$H$2:$H100,$C85,Registrations!$L$2:$L100,"&lt;&gt;Hủy",Registrations!$L$2:$L100,"&lt;&gt;Từ chối")</f>
        <v>0</v>
      </c>
      <c r="G85" s="9" t="str">
        <f>IFERROR(__xludf.DUMMYFUNCTION("IFERROR(INDEX(FILTER(Registrations!$D$2:$D100,Registrations!$H$2:$H100=$C85,Registrations!$L$2:$L100&lt;&gt;""Hủy"",Registrations!$L$2:$L100&lt;&gt;""Từ chối""),1),"""")"),"")</f>
        <v/>
      </c>
      <c r="H85" s="9" t="str">
        <f>IFERROR(__xludf.DUMMYFUNCTION("IFERROR(INDEX(FILTER(Registrations!$E$2:$E100,Registrations!$H$2:$H100=$C85,Registrations!$L$2:$L100&lt;&gt;""Hủy"",Registrations!$L$2:$L100&lt;&gt;""Từ chối""),1),"""")"),"")</f>
        <v/>
      </c>
      <c r="I85" s="9" t="str">
        <f>IFERROR(__xludf.DUMMYFUNCTION("IF(F85=0,"""",IF(IFERROR(INDEX(FILTER(Registrations!$F$2:$F100,Registrations!$H$2:$H100=$C85,Registrations!$L$2:$L100&lt;&gt;""Hủy"",Registrations!$L$2:$L100&lt;&gt;""Từ chối""),1),"""")=$A85,""Khớp"",""Sai kho""))"),"")</f>
        <v/>
      </c>
      <c r="J85" s="5" t="s">
        <v>307</v>
      </c>
      <c r="K85" s="15">
        <v>1.145E7</v>
      </c>
    </row>
    <row r="86">
      <c r="A86" s="5" t="s">
        <v>23</v>
      </c>
      <c r="B86" s="6">
        <v>85.0</v>
      </c>
      <c r="C86" s="7" t="s">
        <v>495</v>
      </c>
      <c r="D86" s="5" t="s">
        <v>493</v>
      </c>
      <c r="E86" s="9" t="str">
        <f t="shared" si="1"/>
        <v>Còn trống</v>
      </c>
      <c r="F86" s="9">
        <f>COUNTIFS(Registrations!$H$2:$H100,$C86,Registrations!$L$2:$L100,"&lt;&gt;Hủy",Registrations!$L$2:$L100,"&lt;&gt;Từ chối")</f>
        <v>0</v>
      </c>
      <c r="G86" s="9" t="str">
        <f>IFERROR(__xludf.DUMMYFUNCTION("IFERROR(INDEX(FILTER(Registrations!$D$2:$D100,Registrations!$H$2:$H100=$C86,Registrations!$L$2:$L100&lt;&gt;""Hủy"",Registrations!$L$2:$L100&lt;&gt;""Từ chối""),1),"""")"),"")</f>
        <v/>
      </c>
      <c r="H86" s="9" t="str">
        <f>IFERROR(__xludf.DUMMYFUNCTION("IFERROR(INDEX(FILTER(Registrations!$E$2:$E100,Registrations!$H$2:$H100=$C86,Registrations!$L$2:$L100&lt;&gt;""Hủy"",Registrations!$L$2:$L100&lt;&gt;""Từ chối""),1),"""")"),"")</f>
        <v/>
      </c>
      <c r="I86" s="9" t="str">
        <f>IFERROR(__xludf.DUMMYFUNCTION("IF(F86=0,"""",IF(IFERROR(INDEX(FILTER(Registrations!$F$2:$F100,Registrations!$H$2:$H100=$C86,Registrations!$L$2:$L100&lt;&gt;""Hủy"",Registrations!$L$2:$L100&lt;&gt;""Từ chối""),1),"""")=$A86,""Khớp"",""Sai kho""))"),"")</f>
        <v/>
      </c>
      <c r="J86" s="5" t="s">
        <v>307</v>
      </c>
      <c r="K86" s="15">
        <v>1.145E7</v>
      </c>
    </row>
    <row r="87">
      <c r="A87" s="5" t="s">
        <v>23</v>
      </c>
      <c r="B87" s="6">
        <v>86.0</v>
      </c>
      <c r="C87" s="7" t="s">
        <v>496</v>
      </c>
      <c r="D87" s="5" t="s">
        <v>493</v>
      </c>
      <c r="E87" s="9" t="str">
        <f t="shared" si="1"/>
        <v>Còn trống</v>
      </c>
      <c r="F87" s="9">
        <f>COUNTIFS(Registrations!$H$2:$H100,$C87,Registrations!$L$2:$L100,"&lt;&gt;Hủy",Registrations!$L$2:$L100,"&lt;&gt;Từ chối")</f>
        <v>0</v>
      </c>
      <c r="G87" s="9" t="str">
        <f>IFERROR(__xludf.DUMMYFUNCTION("IFERROR(INDEX(FILTER(Registrations!$D$2:$D100,Registrations!$H$2:$H100=$C87,Registrations!$L$2:$L100&lt;&gt;""Hủy"",Registrations!$L$2:$L100&lt;&gt;""Từ chối""),1),"""")"),"")</f>
        <v/>
      </c>
      <c r="H87" s="9" t="str">
        <f>IFERROR(__xludf.DUMMYFUNCTION("IFERROR(INDEX(FILTER(Registrations!$E$2:$E100,Registrations!$H$2:$H100=$C87,Registrations!$L$2:$L100&lt;&gt;""Hủy"",Registrations!$L$2:$L100&lt;&gt;""Từ chối""),1),"""")"),"")</f>
        <v/>
      </c>
      <c r="I87" s="9" t="str">
        <f>IFERROR(__xludf.DUMMYFUNCTION("IF(F87=0,"""",IF(IFERROR(INDEX(FILTER(Registrations!$F$2:$F100,Registrations!$H$2:$H100=$C87,Registrations!$L$2:$L100&lt;&gt;""Hủy"",Registrations!$L$2:$L100&lt;&gt;""Từ chối""),1),"""")=$A87,""Khớp"",""Sai kho""))"),"")</f>
        <v/>
      </c>
      <c r="J87" s="5" t="s">
        <v>307</v>
      </c>
      <c r="K87" s="15">
        <v>1.145E7</v>
      </c>
    </row>
    <row r="88">
      <c r="A88" s="5" t="s">
        <v>23</v>
      </c>
      <c r="B88" s="6">
        <v>87.0</v>
      </c>
      <c r="C88" s="7" t="s">
        <v>395</v>
      </c>
      <c r="D88" s="5" t="s">
        <v>497</v>
      </c>
      <c r="E88" s="9" t="str">
        <f t="shared" si="1"/>
        <v>Còn trống</v>
      </c>
      <c r="F88" s="9">
        <f>COUNTIFS(Registrations!$H$2:$H100,$C88,Registrations!$L$2:$L100,"&lt;&gt;Hủy",Registrations!$L$2:$L100,"&lt;&gt;Từ chối")</f>
        <v>0</v>
      </c>
      <c r="G88" s="9" t="str">
        <f>IFERROR(__xludf.DUMMYFUNCTION("IFERROR(INDEX(FILTER(Registrations!$D$2:$D100,Registrations!$H$2:$H100=$C88,Registrations!$L$2:$L100&lt;&gt;""Hủy"",Registrations!$L$2:$L100&lt;&gt;""Từ chối""),1),"""")"),"")</f>
        <v/>
      </c>
      <c r="H88" s="9" t="str">
        <f>IFERROR(__xludf.DUMMYFUNCTION("IFERROR(INDEX(FILTER(Registrations!$E$2:$E100,Registrations!$H$2:$H100=$C88,Registrations!$L$2:$L100&lt;&gt;""Hủy"",Registrations!$L$2:$L100&lt;&gt;""Từ chối""),1),"""")"),"")</f>
        <v/>
      </c>
      <c r="I88" s="9" t="str">
        <f>IFERROR(__xludf.DUMMYFUNCTION("IF(F88=0,"""",IF(IFERROR(INDEX(FILTER(Registrations!$F$2:$F100,Registrations!$H$2:$H100=$C88,Registrations!$L$2:$L100&lt;&gt;""Hủy"",Registrations!$L$2:$L100&lt;&gt;""Từ chối""),1),"""")=$A88,""Khớp"",""Sai kho""))"),"")</f>
        <v/>
      </c>
      <c r="J88" s="5" t="s">
        <v>307</v>
      </c>
      <c r="K88" s="15">
        <v>6545000.0</v>
      </c>
    </row>
    <row r="89">
      <c r="A89" s="5" t="s">
        <v>23</v>
      </c>
      <c r="B89" s="6">
        <v>88.0</v>
      </c>
      <c r="C89" s="7" t="s">
        <v>377</v>
      </c>
      <c r="D89" s="5" t="s">
        <v>497</v>
      </c>
      <c r="E89" s="9" t="str">
        <f t="shared" si="1"/>
        <v>Còn trống</v>
      </c>
      <c r="F89" s="9">
        <f>COUNTIFS(Registrations!$H$2:$H100,$C89,Registrations!$L$2:$L100,"&lt;&gt;Hủy",Registrations!$L$2:$L100,"&lt;&gt;Từ chối")</f>
        <v>0</v>
      </c>
      <c r="G89" s="9" t="str">
        <f>IFERROR(__xludf.DUMMYFUNCTION("IFERROR(INDEX(FILTER(Registrations!$D$2:$D100,Registrations!$H$2:$H100=$C89,Registrations!$L$2:$L100&lt;&gt;""Hủy"",Registrations!$L$2:$L100&lt;&gt;""Từ chối""),1),"""")"),"")</f>
        <v/>
      </c>
      <c r="H89" s="9" t="str">
        <f>IFERROR(__xludf.DUMMYFUNCTION("IFERROR(INDEX(FILTER(Registrations!$E$2:$E100,Registrations!$H$2:$H100=$C89,Registrations!$L$2:$L100&lt;&gt;""Hủy"",Registrations!$L$2:$L100&lt;&gt;""Từ chối""),1),"""")"),"")</f>
        <v/>
      </c>
      <c r="I89" s="9" t="str">
        <f>IFERROR(__xludf.DUMMYFUNCTION("IF(F89=0,"""",IF(IFERROR(INDEX(FILTER(Registrations!$F$2:$F100,Registrations!$H$2:$H100=$C89,Registrations!$L$2:$L100&lt;&gt;""Hủy"",Registrations!$L$2:$L100&lt;&gt;""Từ chối""),1),"""")=$A89,""Khớp"",""Sai kho""))"),"")</f>
        <v/>
      </c>
      <c r="J89" s="5" t="s">
        <v>307</v>
      </c>
      <c r="K89" s="15">
        <v>6545000.0</v>
      </c>
    </row>
    <row r="90">
      <c r="A90" s="5" t="s">
        <v>23</v>
      </c>
      <c r="B90" s="6">
        <v>89.0</v>
      </c>
      <c r="C90" s="7" t="s">
        <v>368</v>
      </c>
      <c r="D90" s="5" t="s">
        <v>498</v>
      </c>
      <c r="E90" s="9" t="str">
        <f t="shared" si="1"/>
        <v>Còn trống</v>
      </c>
      <c r="F90" s="9">
        <f>COUNTIFS(Registrations!$H$2:$H100,$C90,Registrations!$L$2:$L100,"&lt;&gt;Hủy",Registrations!$L$2:$L100,"&lt;&gt;Từ chối")</f>
        <v>0</v>
      </c>
      <c r="G90" s="9" t="str">
        <f>IFERROR(__xludf.DUMMYFUNCTION("IFERROR(INDEX(FILTER(Registrations!$D$2:$D100,Registrations!$H$2:$H100=$C90,Registrations!$L$2:$L100&lt;&gt;""Hủy"",Registrations!$L$2:$L100&lt;&gt;""Từ chối""),1),"""")"),"")</f>
        <v/>
      </c>
      <c r="H90" s="9" t="str">
        <f>IFERROR(__xludf.DUMMYFUNCTION("IFERROR(INDEX(FILTER(Registrations!$E$2:$E100,Registrations!$H$2:$H100=$C90,Registrations!$L$2:$L100&lt;&gt;""Hủy"",Registrations!$L$2:$L100&lt;&gt;""Từ chối""),1),"""")"),"")</f>
        <v/>
      </c>
      <c r="I90" s="9" t="str">
        <f>IFERROR(__xludf.DUMMYFUNCTION("IF(F90=0,"""",IF(IFERROR(INDEX(FILTER(Registrations!$F$2:$F100,Registrations!$H$2:$H100=$C90,Registrations!$L$2:$L100&lt;&gt;""Hủy"",Registrations!$L$2:$L100&lt;&gt;""Từ chối""),1),"""")=$A90,""Khớp"",""Sai kho""))"),"")</f>
        <v/>
      </c>
      <c r="J90" s="5" t="s">
        <v>307</v>
      </c>
      <c r="K90" s="15">
        <v>9745000.0</v>
      </c>
    </row>
    <row r="91">
      <c r="A91" s="5" t="s">
        <v>23</v>
      </c>
      <c r="B91" s="6">
        <v>90.0</v>
      </c>
      <c r="C91" s="7" t="s">
        <v>359</v>
      </c>
      <c r="D91" s="5" t="s">
        <v>94</v>
      </c>
      <c r="E91" s="9" t="str">
        <f t="shared" si="1"/>
        <v>Còn trống</v>
      </c>
      <c r="F91" s="9">
        <f>COUNTIFS(Registrations!$H$2:$H100,$C91,Registrations!$L$2:$L100,"&lt;&gt;Hủy",Registrations!$L$2:$L100,"&lt;&gt;Từ chối")</f>
        <v>0</v>
      </c>
      <c r="G91" s="9" t="str">
        <f>IFERROR(__xludf.DUMMYFUNCTION("IFERROR(INDEX(FILTER(Registrations!$D$2:$D100,Registrations!$H$2:$H100=$C91,Registrations!$L$2:$L100&lt;&gt;""Hủy"",Registrations!$L$2:$L100&lt;&gt;""Từ chối""),1),"""")"),"")</f>
        <v/>
      </c>
      <c r="H91" s="9" t="str">
        <f>IFERROR(__xludf.DUMMYFUNCTION("IFERROR(INDEX(FILTER(Registrations!$E$2:$E100,Registrations!$H$2:$H100=$C91,Registrations!$L$2:$L100&lt;&gt;""Hủy"",Registrations!$L$2:$L100&lt;&gt;""Từ chối""),1),"""")"),"")</f>
        <v/>
      </c>
      <c r="I91" s="9" t="str">
        <f>IFERROR(__xludf.DUMMYFUNCTION("IF(F91=0,"""",IF(IFERROR(INDEX(FILTER(Registrations!$F$2:$F100,Registrations!$H$2:$H100=$C91,Registrations!$L$2:$L100&lt;&gt;""Hủy"",Registrations!$L$2:$L100&lt;&gt;""Từ chối""),1),"""")=$A91,""Khớp"",""Sai kho""))"),"")</f>
        <v/>
      </c>
      <c r="J91" s="5" t="s">
        <v>307</v>
      </c>
      <c r="K91" s="15">
        <v>7795000.0</v>
      </c>
    </row>
  </sheetData>
  <conditionalFormatting sqref="I2:K91">
    <cfRule type="expression" dxfId="2" priority="1" stopIfTrue="1">
      <formula>$I2="Sai kho"</formula>
    </cfRule>
  </conditionalFormatting>
  <conditionalFormatting sqref="E2:E91">
    <cfRule type="expression" dxfId="2" priority="2" stopIfTrue="1">
      <formula>$E2="Trùng đăng ký"</formula>
    </cfRule>
  </conditionalFormatting>
  <conditionalFormatting sqref="E2:E91">
    <cfRule type="expression" dxfId="3" priority="3" stopIfTrue="1">
      <formula>$E2="Đã đăng ký"</formula>
    </cfRule>
  </conditionalFormatting>
  <conditionalFormatting sqref="A2:K91">
    <cfRule type="expression" dxfId="4" priority="4" stopIfTrue="1">
      <formula>ISEVEN(ROW())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18.88"/>
  </cols>
  <sheetData>
    <row r="1">
      <c r="A1" s="23" t="s">
        <v>7</v>
      </c>
      <c r="B1" s="23" t="s">
        <v>116</v>
      </c>
    </row>
    <row r="2">
      <c r="A2" s="5" t="s">
        <v>117</v>
      </c>
      <c r="B2" s="5" t="s">
        <v>118</v>
      </c>
    </row>
    <row r="3">
      <c r="A3" s="5" t="s">
        <v>119</v>
      </c>
      <c r="B3" s="5" t="s">
        <v>118</v>
      </c>
    </row>
    <row r="4">
      <c r="A4" s="5" t="s">
        <v>120</v>
      </c>
      <c r="B4" s="5" t="s">
        <v>118</v>
      </c>
    </row>
    <row r="5">
      <c r="A5" s="5" t="s">
        <v>121</v>
      </c>
      <c r="B5" s="5" t="s">
        <v>118</v>
      </c>
    </row>
    <row r="6">
      <c r="A6" s="5" t="s">
        <v>122</v>
      </c>
      <c r="B6" s="5" t="s">
        <v>123</v>
      </c>
    </row>
    <row r="7">
      <c r="A7" s="5" t="s">
        <v>124</v>
      </c>
      <c r="B7" s="5" t="s">
        <v>123</v>
      </c>
    </row>
    <row r="8">
      <c r="A8" s="5" t="s">
        <v>125</v>
      </c>
      <c r="B8" s="5" t="s">
        <v>123</v>
      </c>
    </row>
    <row r="9">
      <c r="A9" s="5" t="s">
        <v>126</v>
      </c>
      <c r="B9" s="5" t="s">
        <v>123</v>
      </c>
    </row>
    <row r="10">
      <c r="A10" s="5" t="s">
        <v>127</v>
      </c>
      <c r="B10" s="5" t="s">
        <v>123</v>
      </c>
    </row>
    <row r="11">
      <c r="A11" s="5" t="s">
        <v>128</v>
      </c>
      <c r="B11" s="5" t="s">
        <v>123</v>
      </c>
    </row>
    <row r="12">
      <c r="A12" s="5" t="s">
        <v>129</v>
      </c>
      <c r="B12" s="5" t="s">
        <v>123</v>
      </c>
    </row>
    <row r="13">
      <c r="A13" s="5" t="s">
        <v>130</v>
      </c>
      <c r="B13" s="5" t="s">
        <v>123</v>
      </c>
    </row>
    <row r="14">
      <c r="A14" s="5" t="s">
        <v>131</v>
      </c>
      <c r="B14" s="5" t="s">
        <v>123</v>
      </c>
    </row>
    <row r="15">
      <c r="A15" s="5" t="s">
        <v>132</v>
      </c>
      <c r="B15" s="5" t="s">
        <v>123</v>
      </c>
    </row>
    <row r="16">
      <c r="A16" s="5" t="s">
        <v>133</v>
      </c>
      <c r="B16" s="5" t="s">
        <v>123</v>
      </c>
    </row>
    <row r="17">
      <c r="A17" s="5" t="s">
        <v>134</v>
      </c>
      <c r="B17" s="5" t="s">
        <v>123</v>
      </c>
    </row>
    <row r="18">
      <c r="A18" s="5" t="s">
        <v>135</v>
      </c>
      <c r="B18" s="5" t="s">
        <v>123</v>
      </c>
    </row>
    <row r="19">
      <c r="A19" s="5" t="s">
        <v>136</v>
      </c>
      <c r="B19" s="5" t="s">
        <v>123</v>
      </c>
    </row>
    <row r="20">
      <c r="A20" s="5" t="s">
        <v>137</v>
      </c>
      <c r="B20" s="5" t="s">
        <v>123</v>
      </c>
    </row>
    <row r="21">
      <c r="A21" s="5" t="s">
        <v>138</v>
      </c>
      <c r="B21" s="5" t="s">
        <v>123</v>
      </c>
    </row>
    <row r="22">
      <c r="A22" s="5" t="s">
        <v>139</v>
      </c>
      <c r="B22" s="5" t="s">
        <v>123</v>
      </c>
    </row>
    <row r="23">
      <c r="A23" s="5" t="s">
        <v>140</v>
      </c>
      <c r="B23" s="5" t="s">
        <v>123</v>
      </c>
    </row>
    <row r="24">
      <c r="A24" s="5" t="s">
        <v>141</v>
      </c>
      <c r="B24" s="5" t="s">
        <v>123</v>
      </c>
    </row>
    <row r="25">
      <c r="A25" s="5" t="s">
        <v>142</v>
      </c>
      <c r="B25" s="5" t="s">
        <v>123</v>
      </c>
    </row>
    <row r="26">
      <c r="A26" s="5" t="s">
        <v>143</v>
      </c>
      <c r="B26" s="5" t="s">
        <v>123</v>
      </c>
    </row>
    <row r="27">
      <c r="A27" s="5" t="s">
        <v>145</v>
      </c>
      <c r="B27" s="5" t="s">
        <v>123</v>
      </c>
    </row>
    <row r="28">
      <c r="A28" s="5" t="s">
        <v>147</v>
      </c>
      <c r="B28" s="5" t="s">
        <v>148</v>
      </c>
    </row>
    <row r="29">
      <c r="A29" s="5" t="s">
        <v>149</v>
      </c>
      <c r="B29" s="5" t="s">
        <v>148</v>
      </c>
    </row>
    <row r="30">
      <c r="A30" s="5" t="s">
        <v>150</v>
      </c>
      <c r="B30" s="5" t="s">
        <v>148</v>
      </c>
    </row>
    <row r="31">
      <c r="A31" s="5" t="s">
        <v>151</v>
      </c>
      <c r="B31" s="5" t="s">
        <v>148</v>
      </c>
    </row>
    <row r="32">
      <c r="A32" s="5" t="s">
        <v>152</v>
      </c>
      <c r="B32" s="5" t="s">
        <v>148</v>
      </c>
    </row>
    <row r="33">
      <c r="A33" s="5" t="s">
        <v>153</v>
      </c>
      <c r="B33" s="5" t="s">
        <v>148</v>
      </c>
    </row>
    <row r="34">
      <c r="A34" s="5" t="s">
        <v>154</v>
      </c>
      <c r="B34" s="5" t="s">
        <v>148</v>
      </c>
    </row>
    <row r="35">
      <c r="A35" s="5" t="s">
        <v>155</v>
      </c>
      <c r="B35" s="5" t="s">
        <v>148</v>
      </c>
    </row>
    <row r="36">
      <c r="A36" s="5" t="s">
        <v>156</v>
      </c>
      <c r="B36" s="5" t="s">
        <v>148</v>
      </c>
    </row>
    <row r="37">
      <c r="A37" s="5" t="s">
        <v>157</v>
      </c>
      <c r="B37" s="5" t="s">
        <v>148</v>
      </c>
    </row>
    <row r="38">
      <c r="A38" s="5" t="s">
        <v>158</v>
      </c>
      <c r="B38" s="5" t="s">
        <v>148</v>
      </c>
    </row>
    <row r="39">
      <c r="A39" s="5" t="s">
        <v>159</v>
      </c>
      <c r="B39" s="5" t="s">
        <v>148</v>
      </c>
    </row>
    <row r="40">
      <c r="A40" s="5" t="s">
        <v>160</v>
      </c>
      <c r="B40" s="5" t="s">
        <v>148</v>
      </c>
    </row>
    <row r="41">
      <c r="A41" s="5" t="s">
        <v>161</v>
      </c>
      <c r="B41" s="5" t="s">
        <v>148</v>
      </c>
    </row>
    <row r="42">
      <c r="A42" s="5" t="s">
        <v>162</v>
      </c>
      <c r="B42" s="5" t="s">
        <v>148</v>
      </c>
    </row>
    <row r="43">
      <c r="A43" s="5" t="s">
        <v>163</v>
      </c>
      <c r="B43" s="5" t="s">
        <v>148</v>
      </c>
    </row>
    <row r="44">
      <c r="A44" s="5" t="s">
        <v>164</v>
      </c>
      <c r="B44" s="5" t="s">
        <v>148</v>
      </c>
    </row>
    <row r="45">
      <c r="A45" s="5" t="s">
        <v>165</v>
      </c>
      <c r="B45" s="5" t="s">
        <v>148</v>
      </c>
    </row>
    <row r="46">
      <c r="A46" s="5" t="s">
        <v>166</v>
      </c>
      <c r="B46" s="5" t="s">
        <v>148</v>
      </c>
    </row>
    <row r="47">
      <c r="A47" s="5" t="s">
        <v>167</v>
      </c>
      <c r="B47" s="5" t="s">
        <v>148</v>
      </c>
    </row>
    <row r="48">
      <c r="A48" s="5" t="s">
        <v>168</v>
      </c>
      <c r="B48" s="5" t="s">
        <v>148</v>
      </c>
    </row>
    <row r="49">
      <c r="A49" s="5" t="s">
        <v>169</v>
      </c>
      <c r="B49" s="5" t="s">
        <v>148</v>
      </c>
    </row>
    <row r="50">
      <c r="A50" s="5" t="s">
        <v>170</v>
      </c>
      <c r="B50" s="5" t="s">
        <v>148</v>
      </c>
    </row>
    <row r="51">
      <c r="A51" s="5" t="s">
        <v>171</v>
      </c>
      <c r="B51" s="5" t="s">
        <v>148</v>
      </c>
    </row>
    <row r="52">
      <c r="A52" s="5" t="s">
        <v>172</v>
      </c>
      <c r="B52" s="5" t="s">
        <v>148</v>
      </c>
    </row>
    <row r="53">
      <c r="A53" s="5" t="s">
        <v>173</v>
      </c>
      <c r="B53" s="5" t="s">
        <v>118</v>
      </c>
    </row>
    <row r="54">
      <c r="A54" s="5" t="s">
        <v>174</v>
      </c>
      <c r="B54" s="5" t="s">
        <v>118</v>
      </c>
    </row>
    <row r="55">
      <c r="A55" s="5" t="s">
        <v>175</v>
      </c>
      <c r="B55" s="5" t="s">
        <v>176</v>
      </c>
    </row>
    <row r="56">
      <c r="A56" s="5" t="s">
        <v>177</v>
      </c>
      <c r="B56" s="5" t="s">
        <v>176</v>
      </c>
    </row>
    <row r="57">
      <c r="A57" s="5" t="s">
        <v>178</v>
      </c>
      <c r="B57" s="5" t="s">
        <v>176</v>
      </c>
    </row>
    <row r="58">
      <c r="A58" s="5" t="s">
        <v>179</v>
      </c>
      <c r="B58" s="5" t="s">
        <v>176</v>
      </c>
    </row>
    <row r="59">
      <c r="A59" s="5" t="s">
        <v>180</v>
      </c>
      <c r="B59" s="5" t="s">
        <v>176</v>
      </c>
    </row>
    <row r="60">
      <c r="A60" s="5" t="s">
        <v>181</v>
      </c>
      <c r="B60" s="5" t="s">
        <v>176</v>
      </c>
    </row>
    <row r="61">
      <c r="A61" s="5" t="s">
        <v>182</v>
      </c>
      <c r="B61" s="5" t="s">
        <v>176</v>
      </c>
    </row>
    <row r="62">
      <c r="A62" s="5" t="s">
        <v>183</v>
      </c>
      <c r="B62" s="5" t="s">
        <v>176</v>
      </c>
    </row>
    <row r="63">
      <c r="A63" s="5" t="s">
        <v>184</v>
      </c>
      <c r="B63" s="5" t="s">
        <v>176</v>
      </c>
    </row>
    <row r="64">
      <c r="A64" s="5" t="s">
        <v>185</v>
      </c>
      <c r="B64" s="5" t="s">
        <v>176</v>
      </c>
    </row>
    <row r="65">
      <c r="A65" s="5" t="s">
        <v>186</v>
      </c>
      <c r="B65" s="5" t="s">
        <v>176</v>
      </c>
    </row>
    <row r="66">
      <c r="A66" s="5" t="s">
        <v>187</v>
      </c>
      <c r="B66" s="5" t="s">
        <v>176</v>
      </c>
    </row>
    <row r="67">
      <c r="A67" s="5" t="s">
        <v>188</v>
      </c>
      <c r="B67" s="5" t="s">
        <v>176</v>
      </c>
    </row>
    <row r="68">
      <c r="A68" s="5" t="s">
        <v>189</v>
      </c>
      <c r="B68" s="5" t="s">
        <v>176</v>
      </c>
    </row>
    <row r="69">
      <c r="A69" s="5" t="s">
        <v>190</v>
      </c>
      <c r="B69" s="5" t="s">
        <v>176</v>
      </c>
    </row>
    <row r="70">
      <c r="A70" s="5" t="s">
        <v>191</v>
      </c>
      <c r="B70" s="5" t="s">
        <v>176</v>
      </c>
    </row>
    <row r="71">
      <c r="A71" s="5" t="s">
        <v>192</v>
      </c>
      <c r="B71" s="5" t="s">
        <v>176</v>
      </c>
    </row>
    <row r="72">
      <c r="A72" s="5" t="s">
        <v>193</v>
      </c>
      <c r="B72" s="5" t="s">
        <v>176</v>
      </c>
    </row>
    <row r="73">
      <c r="A73" s="5" t="s">
        <v>194</v>
      </c>
      <c r="B73" s="5" t="s">
        <v>176</v>
      </c>
    </row>
    <row r="74">
      <c r="A74" s="5" t="s">
        <v>195</v>
      </c>
      <c r="B74" s="5" t="s">
        <v>118</v>
      </c>
    </row>
    <row r="75">
      <c r="A75" s="5" t="s">
        <v>198</v>
      </c>
      <c r="B75" s="5" t="s">
        <v>199</v>
      </c>
    </row>
    <row r="76">
      <c r="A76" s="5" t="s">
        <v>200</v>
      </c>
      <c r="B76" s="5" t="s">
        <v>199</v>
      </c>
    </row>
    <row r="77">
      <c r="A77" s="5" t="s">
        <v>201</v>
      </c>
      <c r="B77" s="5" t="s">
        <v>199</v>
      </c>
    </row>
    <row r="78">
      <c r="A78" s="5" t="s">
        <v>202</v>
      </c>
      <c r="B78" s="5" t="s">
        <v>199</v>
      </c>
    </row>
    <row r="79">
      <c r="A79" s="5" t="s">
        <v>203</v>
      </c>
      <c r="B79" s="5" t="s">
        <v>199</v>
      </c>
    </row>
    <row r="80">
      <c r="A80" s="5" t="s">
        <v>204</v>
      </c>
      <c r="B80" s="5" t="s">
        <v>199</v>
      </c>
    </row>
    <row r="81">
      <c r="A81" s="5" t="s">
        <v>205</v>
      </c>
      <c r="B81" s="5" t="s">
        <v>199</v>
      </c>
    </row>
    <row r="82">
      <c r="A82" s="5" t="s">
        <v>206</v>
      </c>
      <c r="B82" s="5" t="s">
        <v>199</v>
      </c>
    </row>
    <row r="83">
      <c r="A83" s="5" t="s">
        <v>207</v>
      </c>
      <c r="B83" s="5" t="s">
        <v>199</v>
      </c>
    </row>
    <row r="84">
      <c r="A84" s="5" t="s">
        <v>208</v>
      </c>
      <c r="B84" s="5" t="s">
        <v>199</v>
      </c>
    </row>
    <row r="85">
      <c r="A85" s="5" t="s">
        <v>209</v>
      </c>
      <c r="B85" s="5" t="s">
        <v>199</v>
      </c>
    </row>
    <row r="86">
      <c r="A86" s="5" t="s">
        <v>210</v>
      </c>
      <c r="B86" s="5" t="s">
        <v>199</v>
      </c>
    </row>
    <row r="87">
      <c r="A87" s="5" t="s">
        <v>211</v>
      </c>
      <c r="B87" s="5" t="s">
        <v>199</v>
      </c>
    </row>
    <row r="88">
      <c r="A88" s="5" t="s">
        <v>212</v>
      </c>
      <c r="B88" s="5" t="s">
        <v>199</v>
      </c>
    </row>
    <row r="89">
      <c r="A89" s="5" t="s">
        <v>213</v>
      </c>
      <c r="B89" s="5" t="s">
        <v>199</v>
      </c>
    </row>
    <row r="90">
      <c r="A90" s="5" t="s">
        <v>214</v>
      </c>
      <c r="B90" s="5" t="s">
        <v>199</v>
      </c>
    </row>
    <row r="91">
      <c r="A91" s="5" t="s">
        <v>215</v>
      </c>
      <c r="B91" s="5" t="s">
        <v>199</v>
      </c>
    </row>
    <row r="92">
      <c r="A92" s="5" t="s">
        <v>216</v>
      </c>
      <c r="B92" s="5" t="s">
        <v>199</v>
      </c>
    </row>
    <row r="93">
      <c r="A93" s="5" t="s">
        <v>217</v>
      </c>
      <c r="B93" s="5" t="s">
        <v>199</v>
      </c>
    </row>
    <row r="94">
      <c r="A94" s="5" t="s">
        <v>218</v>
      </c>
      <c r="B94" s="5" t="s">
        <v>199</v>
      </c>
    </row>
    <row r="95">
      <c r="A95" s="5" t="s">
        <v>219</v>
      </c>
      <c r="B95" s="5" t="s">
        <v>199</v>
      </c>
    </row>
    <row r="96">
      <c r="A96" s="5" t="s">
        <v>220</v>
      </c>
      <c r="B96" s="5" t="s">
        <v>199</v>
      </c>
    </row>
    <row r="97">
      <c r="A97" s="5" t="s">
        <v>221</v>
      </c>
      <c r="B97" s="5" t="s">
        <v>199</v>
      </c>
    </row>
    <row r="98">
      <c r="A98" s="5" t="s">
        <v>222</v>
      </c>
      <c r="B98" s="5" t="s">
        <v>199</v>
      </c>
    </row>
    <row r="99">
      <c r="A99" s="5" t="s">
        <v>223</v>
      </c>
      <c r="B99" s="5" t="s">
        <v>199</v>
      </c>
    </row>
    <row r="100">
      <c r="A100" s="5" t="s">
        <v>224</v>
      </c>
      <c r="B100" s="5" t="s">
        <v>199</v>
      </c>
    </row>
    <row r="101">
      <c r="A101" s="5" t="s">
        <v>225</v>
      </c>
      <c r="B101" s="5" t="s">
        <v>199</v>
      </c>
    </row>
    <row r="102">
      <c r="A102" s="5" t="s">
        <v>226</v>
      </c>
      <c r="B102" s="5" t="s">
        <v>199</v>
      </c>
    </row>
    <row r="103">
      <c r="A103" s="5" t="s">
        <v>227</v>
      </c>
      <c r="B103" s="5" t="s">
        <v>199</v>
      </c>
    </row>
    <row r="104">
      <c r="A104" s="5" t="s">
        <v>228</v>
      </c>
      <c r="B104" s="5" t="s">
        <v>199</v>
      </c>
    </row>
    <row r="105">
      <c r="A105" s="5" t="s">
        <v>229</v>
      </c>
      <c r="B105" s="5" t="s">
        <v>199</v>
      </c>
    </row>
    <row r="106">
      <c r="A106" s="5" t="s">
        <v>230</v>
      </c>
      <c r="B106" s="5" t="s">
        <v>199</v>
      </c>
    </row>
    <row r="107">
      <c r="A107" s="5" t="s">
        <v>231</v>
      </c>
      <c r="B107" s="5" t="s">
        <v>199</v>
      </c>
    </row>
    <row r="108">
      <c r="A108" s="5" t="s">
        <v>232</v>
      </c>
      <c r="B108" s="5" t="s">
        <v>199</v>
      </c>
    </row>
    <row r="109">
      <c r="A109" s="5" t="s">
        <v>233</v>
      </c>
      <c r="B109" s="5" t="s">
        <v>199</v>
      </c>
    </row>
    <row r="110">
      <c r="A110" s="5" t="s">
        <v>234</v>
      </c>
      <c r="B110" s="5" t="s">
        <v>199</v>
      </c>
    </row>
    <row r="111">
      <c r="A111" s="5" t="s">
        <v>237</v>
      </c>
      <c r="B111" s="5" t="s">
        <v>199</v>
      </c>
    </row>
    <row r="112">
      <c r="A112" s="5" t="s">
        <v>238</v>
      </c>
      <c r="B112" s="5" t="s">
        <v>199</v>
      </c>
    </row>
    <row r="113">
      <c r="A113" s="5" t="s">
        <v>239</v>
      </c>
      <c r="B113" s="5" t="s">
        <v>199</v>
      </c>
    </row>
    <row r="114">
      <c r="A114" s="5" t="s">
        <v>240</v>
      </c>
      <c r="B114" s="5" t="s">
        <v>199</v>
      </c>
    </row>
    <row r="115">
      <c r="A115" s="5" t="s">
        <v>241</v>
      </c>
      <c r="B115" s="5" t="s">
        <v>199</v>
      </c>
    </row>
    <row r="116">
      <c r="A116" s="5" t="s">
        <v>242</v>
      </c>
      <c r="B116" s="5" t="s">
        <v>118</v>
      </c>
    </row>
    <row r="117">
      <c r="A117" s="5" t="s">
        <v>243</v>
      </c>
      <c r="B117" s="5" t="s">
        <v>244</v>
      </c>
    </row>
    <row r="118">
      <c r="A118" s="5" t="s">
        <v>245</v>
      </c>
      <c r="B118" s="5" t="s">
        <v>244</v>
      </c>
    </row>
    <row r="119">
      <c r="A119" s="5" t="s">
        <v>246</v>
      </c>
      <c r="B119" s="5" t="s">
        <v>244</v>
      </c>
    </row>
    <row r="120">
      <c r="A120" s="5" t="s">
        <v>247</v>
      </c>
      <c r="B120" s="5" t="s">
        <v>244</v>
      </c>
    </row>
    <row r="121">
      <c r="A121" s="5" t="s">
        <v>248</v>
      </c>
      <c r="B121" s="5" t="s">
        <v>244</v>
      </c>
    </row>
    <row r="122">
      <c r="A122" s="5" t="s">
        <v>249</v>
      </c>
      <c r="B122" s="5" t="s">
        <v>244</v>
      </c>
    </row>
    <row r="123">
      <c r="A123" s="5" t="s">
        <v>250</v>
      </c>
      <c r="B123" s="5" t="s">
        <v>244</v>
      </c>
    </row>
    <row r="124">
      <c r="A124" s="5" t="s">
        <v>251</v>
      </c>
      <c r="B124" s="5" t="s">
        <v>244</v>
      </c>
    </row>
    <row r="125">
      <c r="A125" s="5" t="s">
        <v>252</v>
      </c>
      <c r="B125" s="5" t="s">
        <v>244</v>
      </c>
    </row>
    <row r="126">
      <c r="A126" s="5" t="s">
        <v>253</v>
      </c>
      <c r="B126" s="5" t="s">
        <v>244</v>
      </c>
    </row>
    <row r="127">
      <c r="A127" s="5" t="s">
        <v>254</v>
      </c>
      <c r="B127" s="5" t="s">
        <v>244</v>
      </c>
    </row>
    <row r="128">
      <c r="A128" s="5" t="s">
        <v>255</v>
      </c>
      <c r="B128" s="5" t="s">
        <v>118</v>
      </c>
    </row>
    <row r="129">
      <c r="A129" s="5" t="s">
        <v>256</v>
      </c>
      <c r="B129" s="5" t="s">
        <v>118</v>
      </c>
    </row>
    <row r="130">
      <c r="A130" s="5" t="s">
        <v>257</v>
      </c>
      <c r="B130" s="5" t="s">
        <v>118</v>
      </c>
    </row>
    <row r="131">
      <c r="A131" s="5" t="s">
        <v>258</v>
      </c>
      <c r="B131" s="5" t="s">
        <v>118</v>
      </c>
    </row>
    <row r="132">
      <c r="A132" s="5" t="s">
        <v>259</v>
      </c>
      <c r="B132" s="5" t="s">
        <v>118</v>
      </c>
    </row>
    <row r="133">
      <c r="A133" s="5" t="s">
        <v>260</v>
      </c>
      <c r="B133" s="5" t="s">
        <v>261</v>
      </c>
    </row>
    <row r="134">
      <c r="A134" s="5" t="s">
        <v>262</v>
      </c>
      <c r="B134" s="5" t="s">
        <v>261</v>
      </c>
    </row>
    <row r="135">
      <c r="A135" s="5" t="s">
        <v>263</v>
      </c>
      <c r="B135" s="5" t="s">
        <v>261</v>
      </c>
    </row>
    <row r="136">
      <c r="A136" s="5" t="s">
        <v>264</v>
      </c>
      <c r="B136" s="5" t="s">
        <v>261</v>
      </c>
    </row>
    <row r="137">
      <c r="A137" s="5" t="s">
        <v>265</v>
      </c>
      <c r="B137" s="5" t="s">
        <v>261</v>
      </c>
    </row>
    <row r="138">
      <c r="A138" s="5" t="s">
        <v>266</v>
      </c>
      <c r="B138" s="5" t="s">
        <v>261</v>
      </c>
    </row>
    <row r="139">
      <c r="A139" s="5" t="s">
        <v>267</v>
      </c>
      <c r="B139" s="5" t="s">
        <v>261</v>
      </c>
    </row>
    <row r="140">
      <c r="A140" s="5" t="s">
        <v>268</v>
      </c>
      <c r="B140" s="5" t="s">
        <v>261</v>
      </c>
    </row>
    <row r="141">
      <c r="A141" s="5" t="s">
        <v>269</v>
      </c>
      <c r="B141" s="5" t="s">
        <v>261</v>
      </c>
    </row>
    <row r="142">
      <c r="A142" s="5" t="s">
        <v>270</v>
      </c>
      <c r="B142" s="5" t="s">
        <v>261</v>
      </c>
    </row>
    <row r="143">
      <c r="A143" s="5" t="s">
        <v>271</v>
      </c>
      <c r="B143" s="5" t="s">
        <v>261</v>
      </c>
    </row>
    <row r="144">
      <c r="A144" s="5" t="s">
        <v>272</v>
      </c>
      <c r="B144" s="5" t="s">
        <v>261</v>
      </c>
    </row>
    <row r="145">
      <c r="A145" s="5" t="s">
        <v>273</v>
      </c>
      <c r="B145" s="5" t="s">
        <v>261</v>
      </c>
    </row>
    <row r="146">
      <c r="A146" s="5" t="s">
        <v>274</v>
      </c>
      <c r="B146" s="5" t="s">
        <v>261</v>
      </c>
    </row>
    <row r="147">
      <c r="A147" s="5" t="s">
        <v>276</v>
      </c>
      <c r="B147" s="5" t="s">
        <v>261</v>
      </c>
    </row>
    <row r="148">
      <c r="A148" s="5" t="s">
        <v>278</v>
      </c>
      <c r="B148" s="5" t="s">
        <v>261</v>
      </c>
    </row>
    <row r="149">
      <c r="A149" s="5" t="s">
        <v>279</v>
      </c>
      <c r="B149" s="5" t="s">
        <v>261</v>
      </c>
    </row>
    <row r="150">
      <c r="A150" s="5" t="s">
        <v>280</v>
      </c>
      <c r="B150" s="5" t="s">
        <v>261</v>
      </c>
    </row>
    <row r="151">
      <c r="A151" s="5" t="s">
        <v>281</v>
      </c>
      <c r="B151" s="5" t="s">
        <v>261</v>
      </c>
    </row>
    <row r="152">
      <c r="A152" s="5" t="s">
        <v>282</v>
      </c>
      <c r="B152" s="5" t="s">
        <v>261</v>
      </c>
    </row>
    <row r="153">
      <c r="A153" s="5" t="s">
        <v>283</v>
      </c>
      <c r="B153" s="5" t="s">
        <v>261</v>
      </c>
    </row>
    <row r="154">
      <c r="A154" s="5" t="s">
        <v>284</v>
      </c>
      <c r="B154" s="5" t="s">
        <v>261</v>
      </c>
    </row>
    <row r="155">
      <c r="A155" s="5" t="s">
        <v>285</v>
      </c>
      <c r="B155" s="5" t="s">
        <v>261</v>
      </c>
    </row>
    <row r="156">
      <c r="A156" s="5" t="s">
        <v>286</v>
      </c>
      <c r="B156" s="5" t="s">
        <v>261</v>
      </c>
    </row>
    <row r="157">
      <c r="A157" s="5" t="s">
        <v>287</v>
      </c>
      <c r="B157" s="5" t="s">
        <v>261</v>
      </c>
    </row>
    <row r="158">
      <c r="A158" s="5" t="s">
        <v>288</v>
      </c>
      <c r="B158" s="5" t="s">
        <v>261</v>
      </c>
    </row>
    <row r="159">
      <c r="A159" s="5" t="s">
        <v>289</v>
      </c>
      <c r="B159" s="5" t="s">
        <v>261</v>
      </c>
    </row>
    <row r="160">
      <c r="A160" s="5" t="s">
        <v>290</v>
      </c>
      <c r="B160" s="5" t="s">
        <v>261</v>
      </c>
    </row>
    <row r="161">
      <c r="A161" s="5" t="s">
        <v>291</v>
      </c>
      <c r="B161" s="5" t="s">
        <v>261</v>
      </c>
    </row>
    <row r="162">
      <c r="A162" s="5" t="s">
        <v>292</v>
      </c>
      <c r="B162" s="5" t="s">
        <v>261</v>
      </c>
    </row>
    <row r="163">
      <c r="A163" s="5" t="s">
        <v>293</v>
      </c>
      <c r="B163" s="5" t="s">
        <v>261</v>
      </c>
    </row>
    <row r="164">
      <c r="A164" s="5" t="s">
        <v>294</v>
      </c>
      <c r="B164" s="5" t="s">
        <v>261</v>
      </c>
    </row>
    <row r="165">
      <c r="A165" s="5" t="s">
        <v>295</v>
      </c>
      <c r="B165" s="5" t="s">
        <v>261</v>
      </c>
    </row>
    <row r="166">
      <c r="A166" s="5" t="s">
        <v>296</v>
      </c>
      <c r="B166" s="5" t="s">
        <v>261</v>
      </c>
    </row>
    <row r="167">
      <c r="A167" s="5" t="s">
        <v>297</v>
      </c>
      <c r="B167" s="5" t="s">
        <v>261</v>
      </c>
    </row>
    <row r="168">
      <c r="A168" s="5" t="s">
        <v>298</v>
      </c>
      <c r="B168" s="5" t="s">
        <v>261</v>
      </c>
    </row>
    <row r="169">
      <c r="A169" s="5" t="s">
        <v>299</v>
      </c>
      <c r="B169" s="5" t="s">
        <v>261</v>
      </c>
    </row>
    <row r="170">
      <c r="A170" s="5" t="s">
        <v>300</v>
      </c>
      <c r="B170" s="5" t="s">
        <v>261</v>
      </c>
    </row>
    <row r="171">
      <c r="A171" s="5" t="s">
        <v>301</v>
      </c>
      <c r="B171" s="5" t="s">
        <v>261</v>
      </c>
    </row>
    <row r="172">
      <c r="A172" s="5" t="s">
        <v>302</v>
      </c>
      <c r="B172" s="5" t="s">
        <v>261</v>
      </c>
    </row>
    <row r="173">
      <c r="A173" s="5" t="s">
        <v>303</v>
      </c>
      <c r="B173" s="5" t="s">
        <v>261</v>
      </c>
    </row>
    <row r="174">
      <c r="A174" s="5" t="s">
        <v>304</v>
      </c>
      <c r="B174" s="5" t="s">
        <v>304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47.63"/>
    <col customWidth="1" min="3" max="3" width="55.13"/>
  </cols>
  <sheetData>
    <row r="1">
      <c r="A1" s="23" t="s">
        <v>312</v>
      </c>
      <c r="B1" s="23" t="s">
        <v>315</v>
      </c>
      <c r="C1" s="23" t="s">
        <v>316</v>
      </c>
    </row>
    <row r="2">
      <c r="A2" s="16" t="s">
        <v>317</v>
      </c>
      <c r="B2" s="24"/>
      <c r="C2" s="22" t="s">
        <v>318</v>
      </c>
    </row>
    <row r="3">
      <c r="A3" s="16" t="s">
        <v>319</v>
      </c>
      <c r="B3" s="24"/>
      <c r="C3" s="22" t="s">
        <v>320</v>
      </c>
    </row>
    <row r="4">
      <c r="A4" s="16" t="s">
        <v>321</v>
      </c>
      <c r="B4" s="24"/>
      <c r="C4" s="22" t="s">
        <v>322</v>
      </c>
    </row>
    <row r="5">
      <c r="A5" s="16" t="s">
        <v>323</v>
      </c>
      <c r="B5" s="24"/>
      <c r="C5" s="22" t="s">
        <v>324</v>
      </c>
    </row>
    <row r="6">
      <c r="A6" s="16" t="s">
        <v>325</v>
      </c>
      <c r="B6" s="6">
        <v>1.0</v>
      </c>
      <c r="C6" s="22" t="s">
        <v>326</v>
      </c>
    </row>
    <row r="7">
      <c r="A7" s="16" t="s">
        <v>327</v>
      </c>
      <c r="B7" s="5" t="s">
        <v>328</v>
      </c>
      <c r="C7" s="22" t="s">
        <v>329</v>
      </c>
    </row>
    <row r="8">
      <c r="A8" s="16" t="s">
        <v>330</v>
      </c>
      <c r="B8" s="9">
        <f>COUNTA(Slots!$C$2:$C$91)</f>
        <v>90</v>
      </c>
      <c r="C8" s="22" t="s">
        <v>333</v>
      </c>
    </row>
    <row r="9">
      <c r="A9" s="16" t="s">
        <v>334</v>
      </c>
      <c r="B9" s="24"/>
      <c r="C9" s="22" t="s">
        <v>335</v>
      </c>
    </row>
    <row r="10">
      <c r="A10" s="16" t="s">
        <v>336</v>
      </c>
      <c r="B10" s="24"/>
      <c r="C10" s="22" t="s">
        <v>337</v>
      </c>
    </row>
    <row r="11">
      <c r="A11" s="16" t="s">
        <v>338</v>
      </c>
      <c r="B11" s="24"/>
      <c r="C11" s="22" t="s">
        <v>339</v>
      </c>
    </row>
    <row r="12">
      <c r="A12" s="16" t="s">
        <v>340</v>
      </c>
      <c r="B12" s="25" t="s">
        <v>341</v>
      </c>
      <c r="C12" s="22" t="s">
        <v>342</v>
      </c>
    </row>
    <row r="13">
      <c r="A13" s="16" t="s">
        <v>343</v>
      </c>
      <c r="B13" s="26" t="s">
        <v>344</v>
      </c>
      <c r="C13" s="22" t="s">
        <v>342</v>
      </c>
    </row>
    <row r="14">
      <c r="A14" s="16" t="s">
        <v>345</v>
      </c>
      <c r="B14" s="25" t="s">
        <v>346</v>
      </c>
      <c r="C14" s="22" t="s">
        <v>342</v>
      </c>
    </row>
    <row r="15">
      <c r="A15" s="16" t="s">
        <v>347</v>
      </c>
      <c r="B15" s="5" t="s">
        <v>348</v>
      </c>
      <c r="C15" s="22" t="s">
        <v>349</v>
      </c>
    </row>
    <row r="17">
      <c r="A17" s="2" t="s">
        <v>350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5" width="37.63"/>
    <col customWidth="1" min="6" max="6" width="20.13"/>
  </cols>
  <sheetData>
    <row r="1">
      <c r="A1" s="23" t="s">
        <v>3</v>
      </c>
      <c r="B1" s="23" t="s">
        <v>355</v>
      </c>
      <c r="C1" s="23" t="s">
        <v>48</v>
      </c>
      <c r="D1" s="23" t="s">
        <v>10</v>
      </c>
      <c r="E1" s="23" t="s">
        <v>40</v>
      </c>
      <c r="F1" s="23" t="s">
        <v>356</v>
      </c>
    </row>
    <row r="2">
      <c r="A2" s="8">
        <v>46293.74237601852</v>
      </c>
      <c r="B2" s="5" t="s">
        <v>357</v>
      </c>
      <c r="C2" s="5" t="s">
        <v>358</v>
      </c>
      <c r="D2" s="7" t="s">
        <v>359</v>
      </c>
      <c r="E2" s="5" t="s">
        <v>360</v>
      </c>
      <c r="F2" s="5" t="s">
        <v>361</v>
      </c>
    </row>
    <row r="3">
      <c r="A3" s="8">
        <v>46293.742428125</v>
      </c>
      <c r="B3" s="5" t="s">
        <v>362</v>
      </c>
      <c r="C3" s="5" t="s">
        <v>363</v>
      </c>
      <c r="D3" s="7" t="s">
        <v>359</v>
      </c>
      <c r="E3" s="5" t="s">
        <v>360</v>
      </c>
      <c r="F3" s="5" t="s">
        <v>364</v>
      </c>
    </row>
    <row r="4">
      <c r="A4" s="8">
        <v>46293.74245078704</v>
      </c>
      <c r="B4" s="5" t="s">
        <v>365</v>
      </c>
      <c r="C4" s="5" t="s">
        <v>358</v>
      </c>
      <c r="D4" s="7" t="s">
        <v>359</v>
      </c>
      <c r="E4" s="5" t="s">
        <v>360</v>
      </c>
      <c r="F4" s="5" t="s">
        <v>366</v>
      </c>
    </row>
    <row r="5">
      <c r="A5" s="8">
        <v>46293.87966491898</v>
      </c>
      <c r="B5" s="5" t="s">
        <v>357</v>
      </c>
      <c r="C5" s="5" t="s">
        <v>367</v>
      </c>
      <c r="D5" s="7" t="s">
        <v>368</v>
      </c>
      <c r="E5" s="5" t="s">
        <v>369</v>
      </c>
      <c r="F5" s="5" t="s">
        <v>370</v>
      </c>
    </row>
    <row r="6">
      <c r="A6" s="8">
        <v>46293.87969243056</v>
      </c>
      <c r="B6" s="5" t="s">
        <v>362</v>
      </c>
      <c r="C6" s="5" t="s">
        <v>371</v>
      </c>
      <c r="D6" s="7" t="s">
        <v>368</v>
      </c>
      <c r="E6" s="5" t="s">
        <v>369</v>
      </c>
      <c r="F6" s="5" t="s">
        <v>364</v>
      </c>
    </row>
    <row r="7">
      <c r="A7" s="8">
        <v>46293.87972208334</v>
      </c>
      <c r="B7" s="5" t="s">
        <v>362</v>
      </c>
      <c r="C7" s="5" t="s">
        <v>372</v>
      </c>
      <c r="D7" s="7" t="s">
        <v>368</v>
      </c>
      <c r="E7" s="5" t="s">
        <v>369</v>
      </c>
      <c r="F7" s="5" t="s">
        <v>364</v>
      </c>
    </row>
    <row r="8">
      <c r="A8" s="8">
        <v>46293.879738993055</v>
      </c>
      <c r="B8" s="5" t="s">
        <v>362</v>
      </c>
      <c r="C8" s="5" t="s">
        <v>373</v>
      </c>
      <c r="D8" s="7" t="s">
        <v>368</v>
      </c>
      <c r="E8" s="5" t="s">
        <v>369</v>
      </c>
      <c r="F8" s="5" t="s">
        <v>364</v>
      </c>
    </row>
    <row r="9">
      <c r="A9" s="8">
        <v>46293.87975392361</v>
      </c>
      <c r="B9" s="5" t="s">
        <v>362</v>
      </c>
      <c r="C9" s="5" t="s">
        <v>374</v>
      </c>
      <c r="D9" s="7" t="s">
        <v>368</v>
      </c>
      <c r="E9" s="5" t="s">
        <v>369</v>
      </c>
      <c r="F9" s="5" t="s">
        <v>364</v>
      </c>
    </row>
    <row r="10">
      <c r="A10" s="8">
        <v>46293.88804627315</v>
      </c>
      <c r="B10" s="5" t="s">
        <v>362</v>
      </c>
      <c r="C10" s="5" t="s">
        <v>376</v>
      </c>
      <c r="D10" s="7" t="s">
        <v>377</v>
      </c>
      <c r="E10" s="5" t="s">
        <v>378</v>
      </c>
      <c r="F10" s="5" t="s">
        <v>364</v>
      </c>
    </row>
    <row r="11">
      <c r="A11" s="8">
        <v>46293.888051863425</v>
      </c>
      <c r="B11" s="5" t="s">
        <v>362</v>
      </c>
      <c r="C11" s="5" t="s">
        <v>379</v>
      </c>
      <c r="D11" s="7" t="s">
        <v>377</v>
      </c>
      <c r="E11" s="5" t="s">
        <v>378</v>
      </c>
      <c r="F11" s="5" t="s">
        <v>364</v>
      </c>
    </row>
    <row r="12">
      <c r="A12" s="8">
        <v>46293.88805622685</v>
      </c>
      <c r="B12" s="5" t="s">
        <v>357</v>
      </c>
      <c r="C12" s="5" t="s">
        <v>380</v>
      </c>
      <c r="D12" s="7" t="s">
        <v>377</v>
      </c>
      <c r="E12" s="5" t="s">
        <v>378</v>
      </c>
      <c r="F12" s="5" t="s">
        <v>381</v>
      </c>
    </row>
    <row r="13">
      <c r="A13" s="8">
        <v>46293.888058125</v>
      </c>
      <c r="B13" s="5" t="s">
        <v>362</v>
      </c>
      <c r="C13" s="5" t="s">
        <v>382</v>
      </c>
      <c r="D13" s="7" t="s">
        <v>377</v>
      </c>
      <c r="E13" s="5" t="s">
        <v>378</v>
      </c>
      <c r="F13" s="5" t="s">
        <v>364</v>
      </c>
    </row>
    <row r="14">
      <c r="A14" s="8">
        <v>46293.88806261574</v>
      </c>
      <c r="B14" s="5" t="s">
        <v>362</v>
      </c>
      <c r="C14" s="5" t="s">
        <v>383</v>
      </c>
      <c r="D14" s="7" t="s">
        <v>377</v>
      </c>
      <c r="E14" s="5" t="s">
        <v>378</v>
      </c>
      <c r="F14" s="5" t="s">
        <v>364</v>
      </c>
    </row>
    <row r="15">
      <c r="A15" s="8">
        <v>46293.88806996528</v>
      </c>
      <c r="B15" s="5" t="s">
        <v>362</v>
      </c>
      <c r="C15" s="5" t="s">
        <v>384</v>
      </c>
      <c r="D15" s="7" t="s">
        <v>377</v>
      </c>
      <c r="E15" s="5" t="s">
        <v>378</v>
      </c>
      <c r="F15" s="5" t="s">
        <v>364</v>
      </c>
    </row>
    <row r="16">
      <c r="A16" s="8">
        <v>46293.88807806713</v>
      </c>
      <c r="B16" s="5" t="s">
        <v>362</v>
      </c>
      <c r="C16" s="5" t="s">
        <v>385</v>
      </c>
      <c r="D16" s="7" t="s">
        <v>377</v>
      </c>
      <c r="E16" s="5" t="s">
        <v>378</v>
      </c>
      <c r="F16" s="5" t="s">
        <v>364</v>
      </c>
    </row>
    <row r="17">
      <c r="A17" s="8">
        <v>46293.8880840162</v>
      </c>
      <c r="B17" s="5" t="s">
        <v>362</v>
      </c>
      <c r="C17" s="5" t="s">
        <v>386</v>
      </c>
      <c r="D17" s="7" t="s">
        <v>377</v>
      </c>
      <c r="E17" s="5" t="s">
        <v>378</v>
      </c>
      <c r="F17" s="5" t="s">
        <v>364</v>
      </c>
    </row>
    <row r="18">
      <c r="A18" s="8">
        <v>46293.88809916667</v>
      </c>
      <c r="B18" s="5" t="s">
        <v>362</v>
      </c>
      <c r="C18" s="5" t="s">
        <v>387</v>
      </c>
      <c r="D18" s="7" t="s">
        <v>377</v>
      </c>
      <c r="E18" s="5" t="s">
        <v>378</v>
      </c>
      <c r="F18" s="5" t="s">
        <v>364</v>
      </c>
    </row>
    <row r="19">
      <c r="A19" s="8">
        <v>46293.88812548611</v>
      </c>
      <c r="B19" s="5" t="s">
        <v>362</v>
      </c>
      <c r="C19" s="5" t="s">
        <v>388</v>
      </c>
      <c r="D19" s="7" t="s">
        <v>377</v>
      </c>
      <c r="E19" s="5" t="s">
        <v>378</v>
      </c>
      <c r="F19" s="5" t="s">
        <v>364</v>
      </c>
    </row>
    <row r="20">
      <c r="A20" s="8">
        <v>46293.88828663195</v>
      </c>
      <c r="B20" s="5" t="s">
        <v>389</v>
      </c>
      <c r="C20" s="5" t="s">
        <v>380</v>
      </c>
      <c r="E20" s="5" t="s">
        <v>378</v>
      </c>
      <c r="F20" s="5" t="s">
        <v>390</v>
      </c>
    </row>
    <row r="21">
      <c r="A21" s="8">
        <v>46293.88948107639</v>
      </c>
      <c r="B21" s="5" t="s">
        <v>391</v>
      </c>
      <c r="C21" s="5" t="s">
        <v>380</v>
      </c>
      <c r="D21" s="7" t="s">
        <v>377</v>
      </c>
      <c r="E21" s="5" t="s">
        <v>392</v>
      </c>
      <c r="F21" s="5" t="s">
        <v>393</v>
      </c>
    </row>
    <row r="22">
      <c r="A22" s="8">
        <v>46293.88953741898</v>
      </c>
      <c r="B22" s="5" t="s">
        <v>357</v>
      </c>
      <c r="C22" s="5" t="s">
        <v>394</v>
      </c>
      <c r="D22" s="7" t="s">
        <v>395</v>
      </c>
      <c r="E22" s="5" t="s">
        <v>392</v>
      </c>
      <c r="F22" s="5" t="s">
        <v>396</v>
      </c>
    </row>
    <row r="23">
      <c r="A23" s="8">
        <v>46293.88955415509</v>
      </c>
      <c r="B23" s="5" t="s">
        <v>362</v>
      </c>
      <c r="C23" s="5" t="s">
        <v>397</v>
      </c>
      <c r="D23" s="7" t="s">
        <v>395</v>
      </c>
      <c r="E23" s="5" t="s">
        <v>392</v>
      </c>
      <c r="F23" s="5" t="s">
        <v>364</v>
      </c>
    </row>
    <row r="24">
      <c r="A24" s="8">
        <v>46293.88956280093</v>
      </c>
      <c r="B24" s="5" t="s">
        <v>362</v>
      </c>
      <c r="C24" s="5" t="s">
        <v>398</v>
      </c>
      <c r="D24" s="7" t="s">
        <v>395</v>
      </c>
      <c r="E24" s="5" t="s">
        <v>392</v>
      </c>
      <c r="F24" s="5" t="s">
        <v>364</v>
      </c>
    </row>
    <row r="25">
      <c r="A25" s="8">
        <v>46293.88957820601</v>
      </c>
      <c r="B25" s="5" t="s">
        <v>362</v>
      </c>
      <c r="C25" s="5" t="s">
        <v>400</v>
      </c>
      <c r="D25" s="7" t="s">
        <v>395</v>
      </c>
      <c r="E25" s="5" t="s">
        <v>392</v>
      </c>
      <c r="F25" s="5" t="s">
        <v>364</v>
      </c>
    </row>
    <row r="26">
      <c r="A26" s="8">
        <v>46293.88959118056</v>
      </c>
      <c r="B26" s="5" t="s">
        <v>362</v>
      </c>
      <c r="C26" s="5" t="s">
        <v>401</v>
      </c>
      <c r="D26" s="7" t="s">
        <v>395</v>
      </c>
      <c r="E26" s="5" t="s">
        <v>392</v>
      </c>
      <c r="F26" s="5" t="s">
        <v>364</v>
      </c>
    </row>
    <row r="27">
      <c r="A27" s="8">
        <v>46293.88960273148</v>
      </c>
      <c r="B27" s="5" t="s">
        <v>362</v>
      </c>
      <c r="C27" s="5" t="s">
        <v>402</v>
      </c>
      <c r="D27" s="7" t="s">
        <v>395</v>
      </c>
      <c r="E27" s="5" t="s">
        <v>392</v>
      </c>
      <c r="F27" s="5" t="s">
        <v>364</v>
      </c>
    </row>
    <row r="28">
      <c r="A28" s="8">
        <v>46293.88962377315</v>
      </c>
      <c r="B28" s="5" t="s">
        <v>362</v>
      </c>
      <c r="C28" s="5" t="s">
        <v>403</v>
      </c>
      <c r="D28" s="7" t="s">
        <v>395</v>
      </c>
      <c r="E28" s="5" t="s">
        <v>392</v>
      </c>
      <c r="F28" s="5" t="s">
        <v>364</v>
      </c>
    </row>
    <row r="29">
      <c r="A29" s="8">
        <v>46293.889632986116</v>
      </c>
      <c r="B29" s="5" t="s">
        <v>362</v>
      </c>
      <c r="C29" s="5" t="s">
        <v>404</v>
      </c>
      <c r="D29" s="7" t="s">
        <v>395</v>
      </c>
      <c r="E29" s="5" t="s">
        <v>392</v>
      </c>
      <c r="F29" s="5" t="s">
        <v>364</v>
      </c>
    </row>
    <row r="30">
      <c r="A30" s="8">
        <v>46293.88964138889</v>
      </c>
      <c r="B30" s="5" t="s">
        <v>362</v>
      </c>
      <c r="C30" s="5" t="s">
        <v>405</v>
      </c>
      <c r="D30" s="7" t="s">
        <v>395</v>
      </c>
      <c r="E30" s="5" t="s">
        <v>392</v>
      </c>
      <c r="F30" s="5" t="s">
        <v>364</v>
      </c>
    </row>
    <row r="31">
      <c r="A31" s="8">
        <v>46293.88965190972</v>
      </c>
      <c r="B31" s="5" t="s">
        <v>362</v>
      </c>
      <c r="C31" s="5" t="s">
        <v>406</v>
      </c>
      <c r="D31" s="7" t="s">
        <v>395</v>
      </c>
      <c r="E31" s="5" t="s">
        <v>392</v>
      </c>
      <c r="F31" s="5" t="s">
        <v>364</v>
      </c>
    </row>
    <row r="32">
      <c r="A32" s="8">
        <v>46293.889664131944</v>
      </c>
      <c r="B32" s="5" t="s">
        <v>362</v>
      </c>
      <c r="C32" s="5" t="s">
        <v>407</v>
      </c>
      <c r="D32" s="7" t="s">
        <v>395</v>
      </c>
      <c r="E32" s="5" t="s">
        <v>392</v>
      </c>
      <c r="F32" s="5" t="s">
        <v>364</v>
      </c>
    </row>
    <row r="33">
      <c r="A33" s="8">
        <v>46293.88967523148</v>
      </c>
      <c r="B33" s="5" t="s">
        <v>362</v>
      </c>
      <c r="C33" s="5" t="s">
        <v>408</v>
      </c>
      <c r="D33" s="7" t="s">
        <v>395</v>
      </c>
      <c r="E33" s="5" t="s">
        <v>392</v>
      </c>
      <c r="F33" s="5" t="s">
        <v>364</v>
      </c>
    </row>
    <row r="34">
      <c r="A34" s="8">
        <v>46293.889686724535</v>
      </c>
      <c r="B34" s="5" t="s">
        <v>362</v>
      </c>
      <c r="C34" s="5" t="s">
        <v>409</v>
      </c>
      <c r="D34" s="7" t="s">
        <v>395</v>
      </c>
      <c r="E34" s="5" t="s">
        <v>392</v>
      </c>
      <c r="F34" s="5" t="s">
        <v>364</v>
      </c>
    </row>
    <row r="35">
      <c r="A35" s="8">
        <v>46293.88970459491</v>
      </c>
      <c r="B35" s="5" t="s">
        <v>362</v>
      </c>
      <c r="C35" s="5" t="s">
        <v>410</v>
      </c>
      <c r="D35" s="7" t="s">
        <v>395</v>
      </c>
      <c r="E35" s="5" t="s">
        <v>392</v>
      </c>
      <c r="F35" s="5" t="s">
        <v>364</v>
      </c>
    </row>
    <row r="36">
      <c r="A36" s="8">
        <v>46293.88971924769</v>
      </c>
      <c r="B36" s="5" t="s">
        <v>362</v>
      </c>
      <c r="C36" s="5" t="s">
        <v>411</v>
      </c>
      <c r="D36" s="7" t="s">
        <v>395</v>
      </c>
      <c r="E36" s="5" t="s">
        <v>392</v>
      </c>
      <c r="F36" s="5" t="s">
        <v>364</v>
      </c>
    </row>
    <row r="37">
      <c r="A37" s="8">
        <v>46293.88973351852</v>
      </c>
      <c r="B37" s="5" t="s">
        <v>362</v>
      </c>
      <c r="C37" s="5" t="s">
        <v>412</v>
      </c>
      <c r="D37" s="7" t="s">
        <v>395</v>
      </c>
      <c r="E37" s="5" t="s">
        <v>392</v>
      </c>
      <c r="F37" s="5" t="s">
        <v>364</v>
      </c>
    </row>
    <row r="38">
      <c r="A38" s="8">
        <v>46293.88975163194</v>
      </c>
      <c r="B38" s="5" t="s">
        <v>362</v>
      </c>
      <c r="C38" s="5" t="s">
        <v>413</v>
      </c>
      <c r="D38" s="7" t="s">
        <v>395</v>
      </c>
      <c r="E38" s="5" t="s">
        <v>392</v>
      </c>
      <c r="F38" s="5" t="s">
        <v>364</v>
      </c>
    </row>
    <row r="39">
      <c r="A39" s="8">
        <v>46293.88996842592</v>
      </c>
      <c r="B39" s="5" t="s">
        <v>362</v>
      </c>
      <c r="C39" s="5" t="s">
        <v>414</v>
      </c>
      <c r="D39" s="7" t="s">
        <v>395</v>
      </c>
      <c r="E39" s="5" t="s">
        <v>392</v>
      </c>
      <c r="F39" s="5" t="s">
        <v>364</v>
      </c>
    </row>
    <row r="40">
      <c r="A40" s="8">
        <v>46294.633994710646</v>
      </c>
      <c r="B40" s="5" t="s">
        <v>357</v>
      </c>
      <c r="C40" s="5" t="s">
        <v>415</v>
      </c>
      <c r="D40" s="7" t="s">
        <v>359</v>
      </c>
      <c r="E40" s="5" t="s">
        <v>416</v>
      </c>
      <c r="F40" s="5" t="s">
        <v>417</v>
      </c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1.38"/>
    <col customWidth="1" min="3" max="3" width="30.13"/>
    <col customWidth="1" min="4" max="5" width="21.38"/>
  </cols>
  <sheetData>
    <row r="1">
      <c r="A1" s="23" t="s">
        <v>428</v>
      </c>
      <c r="B1" s="23" t="s">
        <v>48</v>
      </c>
      <c r="C1" s="23" t="s">
        <v>429</v>
      </c>
      <c r="D1" s="23" t="s">
        <v>430</v>
      </c>
      <c r="E1" s="23" t="s">
        <v>431</v>
      </c>
    </row>
  </sheetData>
  <drawing r:id="rId1"/>
</worksheet>
</file>