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rations" sheetId="2" state="visible" r:id="rId2"/>
    <sheet xmlns:r="http://schemas.openxmlformats.org/officeDocument/2006/relationships" name="Slots" sheetId="3" state="visible" r:id="rId3"/>
    <sheet xmlns:r="http://schemas.openxmlformats.org/officeDocument/2006/relationships" name="Division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ActivityLog" sheetId="6" state="visible" r:id="rId6"/>
    <sheet xmlns:r="http://schemas.openxmlformats.org/officeDocument/2006/relationships" name="AutoEmail" sheetId="7" state="visible" r:id="rId7"/>
  </sheets>
  <definedNames>
    <definedName name="_xlnm._FilterDatabase" localSheetId="1" hidden="1">'Registrations'!$A$1:$V$1</definedName>
    <definedName name="_xlnm._FilterDatabase" localSheetId="2" hidden="1">'Slots'!$A$1:$I$1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16F6A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F6F3EB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0" pivotButton="0" quotePrefix="0" xfId="0"/>
    <xf numFmtId="0" fontId="5" fillId="4" borderId="0" pivotButton="0" quotePrefix="0" xfId="0"/>
    <xf numFmtId="49" fontId="5" fillId="4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A50034"/>
      </font>
    </dxf>
    <dxf>
      <fill>
        <patternFill patternType="solid">
          <fgColor rgb="00F4CCCC"/>
        </patternFill>
      </fill>
    </dxf>
    <dxf>
      <fill>
        <patternFill patternType="solid">
          <fgColor rgb="00F6F3EB"/>
        </patternFill>
      </fill>
    </dxf>
    <dxf>
      <font>
        <name val="Arial"/>
        <b val="1"/>
        <color rgb="00287D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LG Internal Sales</author>
  </authors>
  <commentList>
    <comment ref="L1" authorId="0" shapeId="0">
      <text>
        <t>Chọn 1 trong: Chờ nộp tiền / Đã khai nộp - chờ đối soát / Đã xác nhận / Từ chối / Hủy</t>
      </text>
    </comment>
    <comment ref="O1" authorId="0" shapeId="0">
      <text>
        <t>Số tiền: chỉ PM &amp; Kế toán xem. Không chia sẻ sheet này rộng rãi.</t>
      </text>
    </comment>
  </commentList>
</comments>
</file>

<file path=xl/comments/comment2.xml><?xml version="1.0" encoding="utf-8"?>
<comments xmlns="http://schemas.openxmlformats.org/spreadsheetml/2006/main">
  <authors>
    <author>LG Internal Sales</author>
  </authors>
  <commentList>
    <comment ref="A1" authorId="0" shapeId="0">
      <text>
        <t>Nguồn: danh sách do chị Hoàng Minh Hiền gửi trong chat, 28/09/2026 (90 dòng WH / No / Model).</t>
      </text>
    </comment>
  </commentList>
</comments>
</file>

<file path=xl/comments/comment3.xml><?xml version="1.0" encoding="utf-8"?>
<comments xmlns="http://schemas.openxmlformats.org/spreadsheetml/2006/main">
  <authors>
    <author>LG Internal Sales</author>
  </authors>
  <commentList>
    <comment ref="A1" authorId="0" shapeId="0">
      <text>
        <t>Nguồn: danh sách do chị Hoàng Minh Hiền gửi trong chat, 28/09/2026 (173 bộ phận).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4" customWidth="1" min="3" max="3"/>
    <col width="12" customWidth="1" min="4" max="4"/>
    <col width="16" customWidth="1" min="5" max="5"/>
  </cols>
  <sheetData>
    <row r="1">
      <c r="A1" s="1" t="inlineStr">
        <is>
          <t>Tổng hợp đăng ký bán hàng nội bộ</t>
        </is>
      </c>
    </row>
    <row r="2">
      <c r="A2" s="2" t="inlineStr">
        <is>
          <t>Số liệu tự tính từ sheet Registrations và Slots. Ô nền vàng là ô cần điền (sheet Config).</t>
        </is>
      </c>
    </row>
    <row r="4">
      <c r="A4" s="3" t="inlineStr">
        <is>
          <t>1. Theo kho</t>
        </is>
      </c>
    </row>
    <row r="5">
      <c r="A5" s="4" t="inlineStr">
        <is>
          <t>Kho</t>
        </is>
      </c>
      <c r="B5" s="4" t="inlineStr">
        <is>
          <t>Tổng slot</t>
        </is>
      </c>
      <c r="C5" s="4" t="inlineStr">
        <is>
          <t>Đã đăng ký</t>
        </is>
      </c>
      <c r="D5" s="4" t="inlineStr">
        <is>
          <t>Còn trống</t>
        </is>
      </c>
      <c r="E5" s="4" t="inlineStr">
        <is>
          <t>Tỷ lệ đã đăng ký</t>
        </is>
      </c>
    </row>
    <row r="6">
      <c r="A6" s="5" t="inlineStr">
        <is>
          <t>AYA</t>
        </is>
      </c>
      <c r="B6" s="5">
        <f>COUNTIF(Slots!$A$2:$A$91,$A6)</f>
        <v/>
      </c>
      <c r="C6" s="5">
        <f>COUNTIFS(Slots!$A$2:$A$91,$A6,Slots!$E$2:$E$91,"&lt;&gt;Còn trống")</f>
        <v/>
      </c>
      <c r="D6" s="5">
        <f>B6-C6</f>
        <v/>
      </c>
      <c r="E6" s="6">
        <f>IF(B6=0,0,C6/B6)</f>
        <v/>
      </c>
    </row>
    <row r="7">
      <c r="A7" s="5" t="inlineStr">
        <is>
          <t>AYB</t>
        </is>
      </c>
      <c r="B7" s="5">
        <f>COUNTIF(Slots!$A$2:$A$91,$A7)</f>
        <v/>
      </c>
      <c r="C7" s="5">
        <f>COUNTIFS(Slots!$A$2:$A$91,$A7,Slots!$E$2:$E$91,"&lt;&gt;Còn trống")</f>
        <v/>
      </c>
      <c r="D7" s="5">
        <f>B7-C7</f>
        <v/>
      </c>
      <c r="E7" s="6">
        <f>IF(B7=0,0,C7/B7)</f>
        <v/>
      </c>
    </row>
    <row r="8">
      <c r="A8" s="5" t="inlineStr">
        <is>
          <t>AYC</t>
        </is>
      </c>
      <c r="B8" s="5">
        <f>COUNTIF(Slots!$A$2:$A$91,$A8)</f>
        <v/>
      </c>
      <c r="C8" s="5">
        <f>COUNTIFS(Slots!$A$2:$A$91,$A8,Slots!$E$2:$E$91,"&lt;&gt;Còn trống")</f>
        <v/>
      </c>
      <c r="D8" s="5">
        <f>B8-C8</f>
        <v/>
      </c>
      <c r="E8" s="6">
        <f>IF(B8=0,0,C8/B8)</f>
        <v/>
      </c>
    </row>
    <row r="9">
      <c r="A9" s="5" t="inlineStr">
        <is>
          <t>Tổng</t>
        </is>
      </c>
      <c r="B9" s="5">
        <f>SUM(B6:B8)</f>
        <v/>
      </c>
      <c r="C9" s="5">
        <f>SUM(C6:C8)</f>
        <v/>
      </c>
      <c r="D9" s="5">
        <f>SUM(D6:D8)</f>
        <v/>
      </c>
      <c r="E9" s="6">
        <f>IF(B9=0,0,C9/B9)</f>
        <v/>
      </c>
    </row>
    <row r="10">
      <c r="A10" s="5" t="n"/>
      <c r="B10" s="5" t="n"/>
      <c r="C10" s="5" t="n"/>
      <c r="D10" s="5" t="n"/>
      <c r="E10" s="5" t="n"/>
    </row>
    <row r="11">
      <c r="A11" s="5" t="inlineStr">
        <is>
          <t>2. Theo trạng thái đơn</t>
        </is>
      </c>
      <c r="B11" s="5" t="n"/>
      <c r="C11" s="5" t="n"/>
      <c r="D11" s="5" t="n"/>
      <c r="E11" s="5" t="n"/>
    </row>
    <row r="12">
      <c r="A12" s="4" t="inlineStr">
        <is>
          <t>Trạng thái</t>
        </is>
      </c>
      <c r="B12" s="4" t="inlineStr">
        <is>
          <t>Số đơn</t>
        </is>
      </c>
      <c r="C12" s="5" t="n"/>
      <c r="D12" s="5" t="n"/>
      <c r="E12" s="5" t="n"/>
    </row>
    <row r="13">
      <c r="A13" s="5" t="inlineStr">
        <is>
          <t>Chờ nộp tiền</t>
        </is>
      </c>
      <c r="B13" s="5">
        <f>COUNTIF(Registrations!$L$2:$L$5000,$A13)</f>
        <v/>
      </c>
      <c r="C13" s="5" t="n"/>
      <c r="D13" s="5" t="n"/>
      <c r="E13" s="5" t="n"/>
    </row>
    <row r="14">
      <c r="A14" s="5" t="inlineStr">
        <is>
          <t>Đã khai nộp - chờ đối soát</t>
        </is>
      </c>
      <c r="B14" s="5">
        <f>COUNTIF(Registrations!$L$2:$L$5000,$A14)</f>
        <v/>
      </c>
      <c r="C14" s="5" t="n"/>
      <c r="D14" s="5" t="n"/>
      <c r="E14" s="5" t="n"/>
    </row>
    <row r="15">
      <c r="A15" s="5" t="inlineStr">
        <is>
          <t>Đã xác nhận</t>
        </is>
      </c>
      <c r="B15" s="5">
        <f>COUNTIF(Registrations!$L$2:$L$5000,$A15)</f>
        <v/>
      </c>
      <c r="C15" s="5" t="n"/>
      <c r="D15" s="5" t="n"/>
      <c r="E15" s="5" t="n"/>
    </row>
    <row r="16">
      <c r="A16" s="5" t="inlineStr">
        <is>
          <t>Từ chối</t>
        </is>
      </c>
      <c r="B16" s="5">
        <f>COUNTIF(Registrations!$L$2:$L$5000,$A16)</f>
        <v/>
      </c>
      <c r="C16" s="5" t="n"/>
      <c r="D16" s="5" t="n"/>
      <c r="E16" s="5" t="n"/>
    </row>
    <row r="17">
      <c r="A17" s="5" t="inlineStr">
        <is>
          <t>Hủy</t>
        </is>
      </c>
      <c r="B17" s="5">
        <f>COUNTIF(Registrations!$L$2:$L$5000,$A17)</f>
        <v/>
      </c>
      <c r="C17" s="5" t="n"/>
      <c r="D17" s="5" t="n"/>
      <c r="E17" s="5" t="n"/>
    </row>
    <row r="18">
      <c r="A18" s="5" t="inlineStr">
        <is>
          <t>Chưa có trạng thái</t>
        </is>
      </c>
      <c r="B18" s="5">
        <f>COUNTIFS(Registrations!$D$2:$D$5000,"&lt;&gt;",Registrations!$L$2:$L$5000,"")</f>
        <v/>
      </c>
      <c r="C18" s="5" t="n"/>
      <c r="D18" s="5" t="n"/>
      <c r="E18" s="5" t="n"/>
    </row>
    <row r="19">
      <c r="A19" s="5" t="inlineStr">
        <is>
          <t>Tổng số đơn</t>
        </is>
      </c>
      <c r="B19" s="5">
        <f>SUM(B13:B18)</f>
        <v/>
      </c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inlineStr">
        <is>
          <t>3. Kiểm soát (Jeong-Do)</t>
        </is>
      </c>
      <c r="B21" s="5" t="n"/>
      <c r="C21" s="5" t="n"/>
      <c r="D21" s="5" t="n"/>
      <c r="E21" s="5" t="n"/>
    </row>
    <row r="22">
      <c r="A22" s="4" t="inlineStr">
        <is>
          <t>Chỉ tiêu</t>
        </is>
      </c>
      <c r="B22" s="4" t="inlineStr">
        <is>
          <t>Kết quả</t>
        </is>
      </c>
      <c r="C22" s="4" t="inlineStr">
        <is>
          <t>Cần làm khi khác 0</t>
        </is>
      </c>
      <c r="D22" s="5" t="n"/>
      <c r="E22" s="5" t="n"/>
    </row>
    <row r="23">
      <c r="A23" s="5" t="inlineStr">
        <is>
          <t>Tổng lượt đăng ký</t>
        </is>
      </c>
      <c r="B23" s="5">
        <f>COUNTA(Registrations!$D$2:$D$5000)</f>
        <v/>
      </c>
      <c r="C23" s="5" t="inlineStr"/>
      <c r="D23" s="5" t="n"/>
      <c r="E23" s="5" t="n"/>
    </row>
    <row r="24">
      <c r="A24" s="5" t="inlineStr">
        <is>
          <t>Số mã NV khác nhau</t>
        </is>
      </c>
      <c r="B24" s="5">
        <f>SUMPRODUCT((Registrations!$D$2:$D$5000&lt;&gt;"")/COUNTIF(Registrations!$D$2:$D$5000,Registrations!$D$2:$D$5000&amp;""))</f>
        <v/>
      </c>
      <c r="C24" s="5" t="inlineStr"/>
      <c r="D24" s="5" t="n"/>
      <c r="E24" s="5" t="n"/>
    </row>
    <row r="25">
      <c r="A25" s="5" t="inlineStr">
        <is>
          <t>Lượt đăng ký vượt hạn mức 1 SP/NV</t>
        </is>
      </c>
      <c r="B25" s="5">
        <f>B23-B24</f>
        <v/>
      </c>
      <c r="C25" s="5" t="inlineStr">
        <is>
          <t>Lọc cột Mã NV (tô đỏ) để xử lý đơn thừa</t>
        </is>
      </c>
      <c r="D25" s="5" t="n"/>
      <c r="E25" s="5" t="n"/>
    </row>
    <row r="26">
      <c r="A26" s="5" t="inlineStr">
        <is>
          <t>Slot bị đăng ký trùng</t>
        </is>
      </c>
      <c r="B26" s="5">
        <f>COUNTIF(Slots!$E$2:$E$91,"Trùng đăng ký")</f>
        <v/>
      </c>
      <c r="C26" s="5" t="inlineStr">
        <is>
          <t>Xét theo Timestamp, giữ người đến trước</t>
        </is>
      </c>
      <c r="D26" s="5" t="n"/>
      <c r="E26" s="5" t="n"/>
    </row>
    <row r="27">
      <c r="A27" s="5" t="inlineStr">
        <is>
          <t>Đăng ký sai kho so với slot</t>
        </is>
      </c>
      <c r="B27" s="5">
        <f>COUNTIF(Slots!$I$2:$I$91,"Sai kho")</f>
        <v/>
      </c>
      <c r="C27" s="5" t="inlineStr">
        <is>
          <t>Liên hệ NV xác nhận lại kho</t>
        </is>
      </c>
      <c r="D27" s="5" t="n"/>
      <c r="E27" s="5" t="n"/>
    </row>
    <row r="28">
      <c r="A28" s="5" t="inlineStr">
        <is>
          <t>Slot không có trong danh sách</t>
        </is>
      </c>
      <c r="B28" s="5">
        <f>SUMPRODUCT((Registrations!$H$2:$H$5000&lt;&gt;"")*(COUNTIF(Slots!$C$2:$C$91,Registrations!$H$2:$H$5000)=0))</f>
        <v/>
      </c>
      <c r="C28" s="5" t="inlineStr">
        <is>
          <t>Kiểm tra mã slot NV nhập</t>
        </is>
      </c>
      <c r="D28" s="5" t="n"/>
      <c r="E28" s="5" t="n"/>
    </row>
    <row r="29">
      <c r="A29" s="5" t="inlineStr">
        <is>
          <t>Chưa xác nhận cam kết Jeong-Do</t>
        </is>
      </c>
      <c r="B29" s="5">
        <f>COUNTIFS(Registrations!$D$2:$D$5000,"&lt;&gt;",Registrations!$K$2:$K$5000,"&lt;&gt;Đồng ý")</f>
        <v/>
      </c>
      <c r="C29" s="5" t="inlineStr">
        <is>
          <t>Yêu cầu NV xác nhận trước khi giao hàng</t>
        </is>
      </c>
      <c r="D29" s="5" t="n"/>
      <c r="E29" s="5" t="n"/>
    </row>
    <row r="30">
      <c r="A30" s="5" t="inlineStr">
        <is>
          <t>Nộp hộ (người nộp khác người đăng ký)</t>
        </is>
      </c>
      <c r="B30" s="5">
        <f>SUMPRODUCT((Registrations!$N$2:$N$5000&lt;&gt;"")*(Registrations!$N$2:$N$5000&lt;&gt;Registrations!$D$2:$D$5000))</f>
        <v/>
      </c>
      <c r="C30" s="5" t="inlineStr">
        <is>
          <t>Đối chiếu sao kê theo tên người nộp</t>
        </is>
      </c>
      <c r="D30" s="5" t="n"/>
      <c r="E30" s="5" t="n"/>
    </row>
  </sheetData>
  <conditionalFormatting sqref="B25:B30">
    <cfRule type="expression" priority="1" dxfId="0">
      <formula>B25&gt;0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28" customWidth="1" min="3" max="3"/>
    <col width="14" customWidth="1" min="4" max="4"/>
    <col width="24" customWidth="1" min="5" max="5"/>
    <col width="7" customWidth="1" min="6" max="6"/>
    <col width="22" customWidth="1" min="7" max="7"/>
    <col width="9" customWidth="1" min="8" max="8"/>
    <col width="14" customWidth="1" min="9" max="9"/>
    <col width="40" customWidth="1" min="10" max="10"/>
    <col width="14" customWidth="1" min="11" max="11"/>
    <col width="24" customWidth="1" min="12" max="12"/>
    <col width="24" customWidth="1" min="13" max="13"/>
    <col width="14" customWidth="1" min="14" max="14"/>
    <col width="16" customWidth="1" min="15" max="15"/>
    <col width="26" customWidth="1" min="16" max="16"/>
    <col width="19" customWidth="1" min="17" max="17"/>
    <col width="30" customWidth="1" min="18" max="18"/>
    <col width="18" customWidth="1" min="19" max="19"/>
    <col width="16" customWidth="1" min="20" max="20"/>
    <col width="30" customWidth="1" min="21" max="21"/>
    <col width="40" customWidth="1" min="22" max="22"/>
  </cols>
  <sheetData>
    <row r="1" ht="30" customHeight="1">
      <c r="A1" s="7" t="inlineStr">
        <is>
          <t>Timestamp</t>
        </is>
      </c>
      <c r="B1" s="7" t="inlineStr">
        <is>
          <t>Mã Đợt</t>
        </is>
      </c>
      <c r="C1" s="7" t="inlineStr">
        <is>
          <t>Bộ Phận</t>
        </is>
      </c>
      <c r="D1" s="7" t="inlineStr">
        <is>
          <t>Mã NV Đăng Ký</t>
        </is>
      </c>
      <c r="E1" s="7" t="inlineStr">
        <is>
          <t>Họ Tên NV Đăng Ký</t>
        </is>
      </c>
      <c r="F1" s="7" t="inlineStr">
        <is>
          <t>Kho</t>
        </is>
      </c>
      <c r="G1" s="7" t="inlineStr">
        <is>
          <t>Mã Model</t>
        </is>
      </c>
      <c r="H1" s="7" t="inlineStr">
        <is>
          <t>Slot ID</t>
        </is>
      </c>
      <c r="I1" s="7" t="inlineStr">
        <is>
          <t>Số Điện Thoại</t>
        </is>
      </c>
      <c r="J1" s="7" t="inlineStr">
        <is>
          <t>Địa Chỉ Giao Hàng</t>
        </is>
      </c>
      <c r="K1" s="7" t="inlineStr">
        <is>
          <t>Cam Kết Jeong-Do</t>
        </is>
      </c>
      <c r="L1" s="7" t="inlineStr">
        <is>
          <t>Trạng Thái</t>
        </is>
      </c>
      <c r="M1" s="7" t="inlineStr">
        <is>
          <t>Họ Tên NV Nộp Tiền</t>
        </is>
      </c>
      <c r="N1" s="7" t="inlineStr">
        <is>
          <t>Mã NV Nộp Tiền</t>
        </is>
      </c>
      <c r="O1" s="7" t="inlineStr">
        <is>
          <t>Số Tiền Đã Chuyển Khoản</t>
        </is>
      </c>
      <c r="P1" s="7" t="inlineStr">
        <is>
          <t>Ngân Hàng &amp; Mã GD</t>
        </is>
      </c>
      <c r="Q1" s="7" t="inlineStr">
        <is>
          <t>Thời Gian Nộp Tiền</t>
        </is>
      </c>
      <c r="R1" s="7" t="inlineStr">
        <is>
          <t>Link Biên Lai</t>
        </is>
      </c>
      <c r="S1" s="7" t="inlineStr">
        <is>
          <t>PM Xác Nhận Bởi</t>
        </is>
      </c>
      <c r="T1" s="7" t="inlineStr">
        <is>
          <t>Ngày PM Xác Nhận</t>
        </is>
      </c>
      <c r="U1" s="7" t="inlineStr">
        <is>
          <t>Ghi Chú</t>
        </is>
      </c>
      <c r="V1" s="7" t="inlineStr">
        <is>
          <t>User Agent</t>
        </is>
      </c>
    </row>
  </sheetData>
  <autoFilter ref="A1:V1"/>
  <conditionalFormatting sqref="D2:D5000">
    <cfRule type="expression" priority="1" dxfId="1">
      <formula>AND($D2&lt;&gt;"",COUNTIF($D$2:$D$5000,$D2)&gt;1)</formula>
    </cfRule>
  </conditionalFormatting>
  <conditionalFormatting sqref="H2:H5000">
    <cfRule type="expression" priority="2" dxfId="1">
      <formula>AND($H2&lt;&gt;"",COUNTIF($H$2:$H$5000,$H2)&gt;1)</formula>
    </cfRule>
  </conditionalFormatting>
  <conditionalFormatting sqref="A2:V5000">
    <cfRule type="expression" priority="3" dxfId="2">
      <formula>AND($A2&lt;&gt;"",MOD(ROW(),2)=0)</formula>
    </cfRule>
  </conditionalFormatting>
  <dataValidations count="4">
    <dataValidation sqref="F2:F5000" showDropDown="0" showInputMessage="0" showErrorMessage="0" allowBlank="1" type="list">
      <formula1>"AYA,AYB,AYC"</formula1>
    </dataValidation>
    <dataValidation sqref="L2:L5000" showDropDown="0" showInputMessage="0" showErrorMessage="0" allowBlank="1" type="list">
      <formula1>"Chờ nộp tiền,Đã khai nộp - chờ đối soát,Đã xác nhận,Từ chối,Hủy"</formula1>
    </dataValidation>
    <dataValidation sqref="K2:K5000" showDropDown="0" showInputMessage="0" showErrorMessage="0" allowBlank="1" type="list">
      <formula1>"Đồng ý"</formula1>
    </dataValidation>
    <dataValidation sqref="C2:C5000" showDropDown="0" showInputMessage="0" showErrorMessage="0" allowBlank="1" type="list">
      <formula1>=Divisions!$A$2:$A$174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24" customWidth="1" min="4" max="4"/>
    <col width="17" customWidth="1" min="5" max="5"/>
    <col width="11" customWidth="1" min="6" max="6"/>
    <col width="14" customWidth="1" min="7" max="7"/>
    <col width="26" customWidth="1" min="8" max="8"/>
    <col width="11" customWidth="1" min="9" max="9"/>
  </cols>
  <sheetData>
    <row r="1" ht="30" customHeight="1">
      <c r="A1" s="7" t="inlineStr">
        <is>
          <t>WH (Kho)</t>
        </is>
      </c>
      <c r="B1" s="7" t="inlineStr">
        <is>
          <t>No</t>
        </is>
      </c>
      <c r="C1" s="7" t="inlineStr">
        <is>
          <t>Slot ID</t>
        </is>
      </c>
      <c r="D1" s="7" t="inlineStr">
        <is>
          <t>Model</t>
        </is>
      </c>
      <c r="E1" s="7" t="inlineStr">
        <is>
          <t>Trạng Thái Slot</t>
        </is>
      </c>
      <c r="F1" s="7" t="inlineStr">
        <is>
          <t>Số Lượt Đăng Ký</t>
        </is>
      </c>
      <c r="G1" s="7" t="inlineStr">
        <is>
          <t>Mã NV Đăng Ký</t>
        </is>
      </c>
      <c r="H1" s="7" t="inlineStr">
        <is>
          <t>Họ Tên NV Đăng Ký</t>
        </is>
      </c>
      <c r="I1" s="7" t="inlineStr">
        <is>
          <t>Khớp Kho</t>
        </is>
      </c>
    </row>
    <row r="2">
      <c r="A2" s="8" t="inlineStr">
        <is>
          <t>AYA</t>
        </is>
      </c>
      <c r="B2" s="8" t="n">
        <v>1</v>
      </c>
      <c r="C2" s="8" t="inlineStr">
        <is>
          <t>#001</t>
        </is>
      </c>
      <c r="D2" s="8" t="inlineStr">
        <is>
          <t>OLED77G5PSA.ATV</t>
        </is>
      </c>
      <c r="E2" s="8">
        <f>IF(F2=0,"Còn trống",IF(F2=1,"Đã đăng ký","Trùng đăng ký"))</f>
        <v/>
      </c>
      <c r="F2" s="8">
        <f>COUNTIF(Registrations!$H$2:$H$5000,$C2)</f>
        <v/>
      </c>
      <c r="G2" s="8">
        <f>IFERROR(INDEX(Registrations!$D$2:$D$5000,MATCH($C2,Registrations!$H$2:$H$5000,0)),"")</f>
        <v/>
      </c>
      <c r="H2" s="8">
        <f>IFERROR(INDEX(Registrations!$E$2:$E$5000,MATCH($C2,Registrations!$H$2:$H$5000,0)),"")</f>
        <v/>
      </c>
      <c r="I2" s="8">
        <f>IF(F2=0,"",IF(IFERROR(INDEX(Registrations!$F$2:$F$5000,MATCH($C2,Registrations!$H$2:$H$5000,0)),"")=$A2,"Khớp","Sai kho"))</f>
        <v/>
      </c>
    </row>
    <row r="3">
      <c r="A3" s="5" t="inlineStr">
        <is>
          <t>AYA</t>
        </is>
      </c>
      <c r="B3" s="5" t="n">
        <v>2</v>
      </c>
      <c r="C3" s="5" t="inlineStr">
        <is>
          <t>#002</t>
        </is>
      </c>
      <c r="D3" s="5" t="inlineStr">
        <is>
          <t>65QNED92ASA.ATV</t>
        </is>
      </c>
      <c r="E3" s="5">
        <f>IF(F3=0,"Còn trống",IF(F3=1,"Đã đăng ký","Trùng đăng ký"))</f>
        <v/>
      </c>
      <c r="F3" s="5">
        <f>COUNTIF(Registrations!$H$2:$H$5000,$C3)</f>
        <v/>
      </c>
      <c r="G3" s="5">
        <f>IFERROR(INDEX(Registrations!$D$2:$D$5000,MATCH($C3,Registrations!$H$2:$H$5000,0)),"")</f>
        <v/>
      </c>
      <c r="H3" s="5">
        <f>IFERROR(INDEX(Registrations!$E$2:$E$5000,MATCH($C3,Registrations!$H$2:$H$5000,0)),"")</f>
        <v/>
      </c>
      <c r="I3" s="5">
        <f>IF(F3=0,"",IF(IFERROR(INDEX(Registrations!$F$2:$F$5000,MATCH($C3,Registrations!$H$2:$H$5000,0)),"")=$A3,"Khớp","Sai kho"))</f>
        <v/>
      </c>
    </row>
    <row r="4">
      <c r="A4" s="8" t="inlineStr">
        <is>
          <t>AYA</t>
        </is>
      </c>
      <c r="B4" s="8" t="n">
        <v>3</v>
      </c>
      <c r="C4" s="8" t="inlineStr">
        <is>
          <t>#003</t>
        </is>
      </c>
      <c r="D4" s="8" t="inlineStr">
        <is>
          <t>65QNED92ASA.ATV</t>
        </is>
      </c>
      <c r="E4" s="8">
        <f>IF(F4=0,"Còn trống",IF(F4=1,"Đã đăng ký","Trùng đăng ký"))</f>
        <v/>
      </c>
      <c r="F4" s="8">
        <f>COUNTIF(Registrations!$H$2:$H$5000,$C4)</f>
        <v/>
      </c>
      <c r="G4" s="8">
        <f>IFERROR(INDEX(Registrations!$D$2:$D$5000,MATCH($C4,Registrations!$H$2:$H$5000,0)),"")</f>
        <v/>
      </c>
      <c r="H4" s="8">
        <f>IFERROR(INDEX(Registrations!$E$2:$E$5000,MATCH($C4,Registrations!$H$2:$H$5000,0)),"")</f>
        <v/>
      </c>
      <c r="I4" s="8">
        <f>IF(F4=0,"",IF(IFERROR(INDEX(Registrations!$F$2:$F$5000,MATCH($C4,Registrations!$H$2:$H$5000,0)),"")=$A4,"Khớp","Sai kho"))</f>
        <v/>
      </c>
    </row>
    <row r="5">
      <c r="A5" s="5" t="inlineStr">
        <is>
          <t>AYA</t>
        </is>
      </c>
      <c r="B5" s="5" t="n">
        <v>4</v>
      </c>
      <c r="C5" s="5" t="inlineStr">
        <is>
          <t>#004</t>
        </is>
      </c>
      <c r="D5" s="5" t="inlineStr">
        <is>
          <t>43QNED81ASA.ATV</t>
        </is>
      </c>
      <c r="E5" s="5">
        <f>IF(F5=0,"Còn trống",IF(F5=1,"Đã đăng ký","Trùng đăng ký"))</f>
        <v/>
      </c>
      <c r="F5" s="5">
        <f>COUNTIF(Registrations!$H$2:$H$5000,$C5)</f>
        <v/>
      </c>
      <c r="G5" s="5">
        <f>IFERROR(INDEX(Registrations!$D$2:$D$5000,MATCH($C5,Registrations!$H$2:$H$5000,0)),"")</f>
        <v/>
      </c>
      <c r="H5" s="5">
        <f>IFERROR(INDEX(Registrations!$E$2:$E$5000,MATCH($C5,Registrations!$H$2:$H$5000,0)),"")</f>
        <v/>
      </c>
      <c r="I5" s="5">
        <f>IF(F5=0,"",IF(IFERROR(INDEX(Registrations!$F$2:$F$5000,MATCH($C5,Registrations!$H$2:$H$5000,0)),"")=$A5,"Khớp","Sai kho"))</f>
        <v/>
      </c>
    </row>
    <row r="6">
      <c r="A6" s="8" t="inlineStr">
        <is>
          <t>AYA</t>
        </is>
      </c>
      <c r="B6" s="8" t="n">
        <v>5</v>
      </c>
      <c r="C6" s="8" t="inlineStr">
        <is>
          <t>#005</t>
        </is>
      </c>
      <c r="D6" s="8" t="inlineStr">
        <is>
          <t>55QNED80ASA.ATV</t>
        </is>
      </c>
      <c r="E6" s="8">
        <f>IF(F6=0,"Còn trống",IF(F6=1,"Đã đăng ký","Trùng đăng ký"))</f>
        <v/>
      </c>
      <c r="F6" s="8">
        <f>COUNTIF(Registrations!$H$2:$H$5000,$C6)</f>
        <v/>
      </c>
      <c r="G6" s="8">
        <f>IFERROR(INDEX(Registrations!$D$2:$D$5000,MATCH($C6,Registrations!$H$2:$H$5000,0)),"")</f>
        <v/>
      </c>
      <c r="H6" s="8">
        <f>IFERROR(INDEX(Registrations!$E$2:$E$5000,MATCH($C6,Registrations!$H$2:$H$5000,0)),"")</f>
        <v/>
      </c>
      <c r="I6" s="8">
        <f>IF(F6=0,"",IF(IFERROR(INDEX(Registrations!$F$2:$F$5000,MATCH($C6,Registrations!$H$2:$H$5000,0)),"")=$A6,"Khớp","Sai kho"))</f>
        <v/>
      </c>
    </row>
    <row r="7">
      <c r="A7" s="5" t="inlineStr">
        <is>
          <t>AYA</t>
        </is>
      </c>
      <c r="B7" s="5" t="n">
        <v>6</v>
      </c>
      <c r="C7" s="5" t="inlineStr">
        <is>
          <t>#006</t>
        </is>
      </c>
      <c r="D7" s="5" t="inlineStr">
        <is>
          <t>75NANO80ASA.ATV</t>
        </is>
      </c>
      <c r="E7" s="5">
        <f>IF(F7=0,"Còn trống",IF(F7=1,"Đã đăng ký","Trùng đăng ký"))</f>
        <v/>
      </c>
      <c r="F7" s="5">
        <f>COUNTIF(Registrations!$H$2:$H$5000,$C7)</f>
        <v/>
      </c>
      <c r="G7" s="5">
        <f>IFERROR(INDEX(Registrations!$D$2:$D$5000,MATCH($C7,Registrations!$H$2:$H$5000,0)),"")</f>
        <v/>
      </c>
      <c r="H7" s="5">
        <f>IFERROR(INDEX(Registrations!$E$2:$E$5000,MATCH($C7,Registrations!$H$2:$H$5000,0)),"")</f>
        <v/>
      </c>
      <c r="I7" s="5">
        <f>IF(F7=0,"",IF(IFERROR(INDEX(Registrations!$F$2:$F$5000,MATCH($C7,Registrations!$H$2:$H$5000,0)),"")=$A7,"Khớp","Sai kho"))</f>
        <v/>
      </c>
    </row>
    <row r="8">
      <c r="A8" s="8" t="inlineStr">
        <is>
          <t>AYA</t>
        </is>
      </c>
      <c r="B8" s="8" t="n">
        <v>7</v>
      </c>
      <c r="C8" s="8" t="inlineStr">
        <is>
          <t>#007</t>
        </is>
      </c>
      <c r="D8" s="8" t="inlineStr">
        <is>
          <t>75NANO80ASA.ATV</t>
        </is>
      </c>
      <c r="E8" s="8">
        <f>IF(F8=0,"Còn trống",IF(F8=1,"Đã đăng ký","Trùng đăng ký"))</f>
        <v/>
      </c>
      <c r="F8" s="8">
        <f>COUNTIF(Registrations!$H$2:$H$5000,$C8)</f>
        <v/>
      </c>
      <c r="G8" s="8">
        <f>IFERROR(INDEX(Registrations!$D$2:$D$5000,MATCH($C8,Registrations!$H$2:$H$5000,0)),"")</f>
        <v/>
      </c>
      <c r="H8" s="8">
        <f>IFERROR(INDEX(Registrations!$E$2:$E$5000,MATCH($C8,Registrations!$H$2:$H$5000,0)),"")</f>
        <v/>
      </c>
      <c r="I8" s="8">
        <f>IF(F8=0,"",IF(IFERROR(INDEX(Registrations!$F$2:$F$5000,MATCH($C8,Registrations!$H$2:$H$5000,0)),"")=$A8,"Khớp","Sai kho"))</f>
        <v/>
      </c>
    </row>
    <row r="9">
      <c r="A9" s="5" t="inlineStr">
        <is>
          <t>AYA</t>
        </is>
      </c>
      <c r="B9" s="5" t="n">
        <v>8</v>
      </c>
      <c r="C9" s="5" t="inlineStr">
        <is>
          <t>#008</t>
        </is>
      </c>
      <c r="D9" s="5" t="inlineStr">
        <is>
          <t>75NANO80ASA.ATV</t>
        </is>
      </c>
      <c r="E9" s="5">
        <f>IF(F9=0,"Còn trống",IF(F9=1,"Đã đăng ký","Trùng đăng ký"))</f>
        <v/>
      </c>
      <c r="F9" s="5">
        <f>COUNTIF(Registrations!$H$2:$H$5000,$C9)</f>
        <v/>
      </c>
      <c r="G9" s="5">
        <f>IFERROR(INDEX(Registrations!$D$2:$D$5000,MATCH($C9,Registrations!$H$2:$H$5000,0)),"")</f>
        <v/>
      </c>
      <c r="H9" s="5">
        <f>IFERROR(INDEX(Registrations!$E$2:$E$5000,MATCH($C9,Registrations!$H$2:$H$5000,0)),"")</f>
        <v/>
      </c>
      <c r="I9" s="5">
        <f>IF(F9=0,"",IF(IFERROR(INDEX(Registrations!$F$2:$F$5000,MATCH($C9,Registrations!$H$2:$H$5000,0)),"")=$A9,"Khớp","Sai kho"))</f>
        <v/>
      </c>
    </row>
    <row r="10">
      <c r="A10" s="8" t="inlineStr">
        <is>
          <t>AYA</t>
        </is>
      </c>
      <c r="B10" s="8" t="n">
        <v>9</v>
      </c>
      <c r="C10" s="8" t="inlineStr">
        <is>
          <t>#009</t>
        </is>
      </c>
      <c r="D10" s="8" t="inlineStr">
        <is>
          <t>75NANO80ASA.ATV</t>
        </is>
      </c>
      <c r="E10" s="8">
        <f>IF(F10=0,"Còn trống",IF(F10=1,"Đã đăng ký","Trùng đăng ký"))</f>
        <v/>
      </c>
      <c r="F10" s="8">
        <f>COUNTIF(Registrations!$H$2:$H$5000,$C10)</f>
        <v/>
      </c>
      <c r="G10" s="8">
        <f>IFERROR(INDEX(Registrations!$D$2:$D$5000,MATCH($C10,Registrations!$H$2:$H$5000,0)),"")</f>
        <v/>
      </c>
      <c r="H10" s="8">
        <f>IFERROR(INDEX(Registrations!$E$2:$E$5000,MATCH($C10,Registrations!$H$2:$H$5000,0)),"")</f>
        <v/>
      </c>
      <c r="I10" s="8">
        <f>IF(F10=0,"",IF(IFERROR(INDEX(Registrations!$F$2:$F$5000,MATCH($C10,Registrations!$H$2:$H$5000,0)),"")=$A10,"Khớp","Sai kho"))</f>
        <v/>
      </c>
    </row>
    <row r="11">
      <c r="A11" s="5" t="inlineStr">
        <is>
          <t>AYA</t>
        </is>
      </c>
      <c r="B11" s="5" t="n">
        <v>10</v>
      </c>
      <c r="C11" s="5" t="inlineStr">
        <is>
          <t>#010</t>
        </is>
      </c>
      <c r="D11" s="5" t="inlineStr">
        <is>
          <t>75NANO80ASA.ATV</t>
        </is>
      </c>
      <c r="E11" s="5">
        <f>IF(F11=0,"Còn trống",IF(F11=1,"Đã đăng ký","Trùng đăng ký"))</f>
        <v/>
      </c>
      <c r="F11" s="5">
        <f>COUNTIF(Registrations!$H$2:$H$5000,$C11)</f>
        <v/>
      </c>
      <c r="G11" s="5">
        <f>IFERROR(INDEX(Registrations!$D$2:$D$5000,MATCH($C11,Registrations!$H$2:$H$5000,0)),"")</f>
        <v/>
      </c>
      <c r="H11" s="5">
        <f>IFERROR(INDEX(Registrations!$E$2:$E$5000,MATCH($C11,Registrations!$H$2:$H$5000,0)),"")</f>
        <v/>
      </c>
      <c r="I11" s="5">
        <f>IF(F11=0,"",IF(IFERROR(INDEX(Registrations!$F$2:$F$5000,MATCH($C11,Registrations!$H$2:$H$5000,0)),"")=$A11,"Khớp","Sai kho"))</f>
        <v/>
      </c>
    </row>
    <row r="12">
      <c r="A12" s="8" t="inlineStr">
        <is>
          <t>AYA</t>
        </is>
      </c>
      <c r="B12" s="8" t="n">
        <v>11</v>
      </c>
      <c r="C12" s="8" t="inlineStr">
        <is>
          <t>#011</t>
        </is>
      </c>
      <c r="D12" s="8" t="inlineStr">
        <is>
          <t>75NANO80ASA.ATV</t>
        </is>
      </c>
      <c r="E12" s="8">
        <f>IF(F12=0,"Còn trống",IF(F12=1,"Đã đăng ký","Trùng đăng ký"))</f>
        <v/>
      </c>
      <c r="F12" s="8">
        <f>COUNTIF(Registrations!$H$2:$H$5000,$C12)</f>
        <v/>
      </c>
      <c r="G12" s="8">
        <f>IFERROR(INDEX(Registrations!$D$2:$D$5000,MATCH($C12,Registrations!$H$2:$H$5000,0)),"")</f>
        <v/>
      </c>
      <c r="H12" s="8">
        <f>IFERROR(INDEX(Registrations!$E$2:$E$5000,MATCH($C12,Registrations!$H$2:$H$5000,0)),"")</f>
        <v/>
      </c>
      <c r="I12" s="8">
        <f>IF(F12=0,"",IF(IFERROR(INDEX(Registrations!$F$2:$F$5000,MATCH($C12,Registrations!$H$2:$H$5000,0)),"")=$A12,"Khớp","Sai kho"))</f>
        <v/>
      </c>
    </row>
    <row r="13">
      <c r="A13" s="5" t="inlineStr">
        <is>
          <t>AYA</t>
        </is>
      </c>
      <c r="B13" s="5" t="n">
        <v>12</v>
      </c>
      <c r="C13" s="5" t="inlineStr">
        <is>
          <t>#012</t>
        </is>
      </c>
      <c r="D13" s="5" t="inlineStr">
        <is>
          <t>75NANO80ASA.ATV</t>
        </is>
      </c>
      <c r="E13" s="5">
        <f>IF(F13=0,"Còn trống",IF(F13=1,"Đã đăng ký","Trùng đăng ký"))</f>
        <v/>
      </c>
      <c r="F13" s="5">
        <f>COUNTIF(Registrations!$H$2:$H$5000,$C13)</f>
        <v/>
      </c>
      <c r="G13" s="5">
        <f>IFERROR(INDEX(Registrations!$D$2:$D$5000,MATCH($C13,Registrations!$H$2:$H$5000,0)),"")</f>
        <v/>
      </c>
      <c r="H13" s="5">
        <f>IFERROR(INDEX(Registrations!$E$2:$E$5000,MATCH($C13,Registrations!$H$2:$H$5000,0)),"")</f>
        <v/>
      </c>
      <c r="I13" s="5">
        <f>IF(F13=0,"",IF(IFERROR(INDEX(Registrations!$F$2:$F$5000,MATCH($C13,Registrations!$H$2:$H$5000,0)),"")=$A13,"Khớp","Sai kho"))</f>
        <v/>
      </c>
    </row>
    <row r="14">
      <c r="A14" s="8" t="inlineStr">
        <is>
          <t>AYA</t>
        </is>
      </c>
      <c r="B14" s="8" t="n">
        <v>13</v>
      </c>
      <c r="C14" s="8" t="inlineStr">
        <is>
          <t>#013</t>
        </is>
      </c>
      <c r="D14" s="8" t="inlineStr">
        <is>
          <t>75NANO80ASA.ATV</t>
        </is>
      </c>
      <c r="E14" s="8">
        <f>IF(F14=0,"Còn trống",IF(F14=1,"Đã đăng ký","Trùng đăng ký"))</f>
        <v/>
      </c>
      <c r="F14" s="8">
        <f>COUNTIF(Registrations!$H$2:$H$5000,$C14)</f>
        <v/>
      </c>
      <c r="G14" s="8">
        <f>IFERROR(INDEX(Registrations!$D$2:$D$5000,MATCH($C14,Registrations!$H$2:$H$5000,0)),"")</f>
        <v/>
      </c>
      <c r="H14" s="8">
        <f>IFERROR(INDEX(Registrations!$E$2:$E$5000,MATCH($C14,Registrations!$H$2:$H$5000,0)),"")</f>
        <v/>
      </c>
      <c r="I14" s="8">
        <f>IF(F14=0,"",IF(IFERROR(INDEX(Registrations!$F$2:$F$5000,MATCH($C14,Registrations!$H$2:$H$5000,0)),"")=$A14,"Khớp","Sai kho"))</f>
        <v/>
      </c>
    </row>
    <row r="15">
      <c r="A15" s="5" t="inlineStr">
        <is>
          <t>AYA</t>
        </is>
      </c>
      <c r="B15" s="5" t="n">
        <v>14</v>
      </c>
      <c r="C15" s="5" t="inlineStr">
        <is>
          <t>#014</t>
        </is>
      </c>
      <c r="D15" s="5" t="inlineStr">
        <is>
          <t>55NANO80ASA.ATV</t>
        </is>
      </c>
      <c r="E15" s="5">
        <f>IF(F15=0,"Còn trống",IF(F15=1,"Đã đăng ký","Trùng đăng ký"))</f>
        <v/>
      </c>
      <c r="F15" s="5">
        <f>COUNTIF(Registrations!$H$2:$H$5000,$C15)</f>
        <v/>
      </c>
      <c r="G15" s="5">
        <f>IFERROR(INDEX(Registrations!$D$2:$D$5000,MATCH($C15,Registrations!$H$2:$H$5000,0)),"")</f>
        <v/>
      </c>
      <c r="H15" s="5">
        <f>IFERROR(INDEX(Registrations!$E$2:$E$5000,MATCH($C15,Registrations!$H$2:$H$5000,0)),"")</f>
        <v/>
      </c>
      <c r="I15" s="5">
        <f>IF(F15=0,"",IF(IFERROR(INDEX(Registrations!$F$2:$F$5000,MATCH($C15,Registrations!$H$2:$H$5000,0)),"")=$A15,"Khớp","Sai kho"))</f>
        <v/>
      </c>
    </row>
    <row r="16">
      <c r="A16" s="8" t="inlineStr">
        <is>
          <t>AYA</t>
        </is>
      </c>
      <c r="B16" s="8" t="n">
        <v>15</v>
      </c>
      <c r="C16" s="8" t="inlineStr">
        <is>
          <t>#015</t>
        </is>
      </c>
      <c r="D16" s="8" t="inlineStr">
        <is>
          <t>55NANO80ASA.ATV</t>
        </is>
      </c>
      <c r="E16" s="8">
        <f>IF(F16=0,"Còn trống",IF(F16=1,"Đã đăng ký","Trùng đăng ký"))</f>
        <v/>
      </c>
      <c r="F16" s="8">
        <f>COUNTIF(Registrations!$H$2:$H$5000,$C16)</f>
        <v/>
      </c>
      <c r="G16" s="8">
        <f>IFERROR(INDEX(Registrations!$D$2:$D$5000,MATCH($C16,Registrations!$H$2:$H$5000,0)),"")</f>
        <v/>
      </c>
      <c r="H16" s="8">
        <f>IFERROR(INDEX(Registrations!$E$2:$E$5000,MATCH($C16,Registrations!$H$2:$H$5000,0)),"")</f>
        <v/>
      </c>
      <c r="I16" s="8">
        <f>IF(F16=0,"",IF(IFERROR(INDEX(Registrations!$F$2:$F$5000,MATCH($C16,Registrations!$H$2:$H$5000,0)),"")=$A16,"Khớp","Sai kho"))</f>
        <v/>
      </c>
    </row>
    <row r="17">
      <c r="A17" s="5" t="inlineStr">
        <is>
          <t>AYA</t>
        </is>
      </c>
      <c r="B17" s="5" t="n">
        <v>16</v>
      </c>
      <c r="C17" s="5" t="inlineStr">
        <is>
          <t>#016</t>
        </is>
      </c>
      <c r="D17" s="5" t="inlineStr">
        <is>
          <t>55NANO80ASA.ATV</t>
        </is>
      </c>
      <c r="E17" s="5">
        <f>IF(F17=0,"Còn trống",IF(F17=1,"Đã đăng ký","Trùng đăng ký"))</f>
        <v/>
      </c>
      <c r="F17" s="5">
        <f>COUNTIF(Registrations!$H$2:$H$5000,$C17)</f>
        <v/>
      </c>
      <c r="G17" s="5">
        <f>IFERROR(INDEX(Registrations!$D$2:$D$5000,MATCH($C17,Registrations!$H$2:$H$5000,0)),"")</f>
        <v/>
      </c>
      <c r="H17" s="5">
        <f>IFERROR(INDEX(Registrations!$E$2:$E$5000,MATCH($C17,Registrations!$H$2:$H$5000,0)),"")</f>
        <v/>
      </c>
      <c r="I17" s="5">
        <f>IF(F17=0,"",IF(IFERROR(INDEX(Registrations!$F$2:$F$5000,MATCH($C17,Registrations!$H$2:$H$5000,0)),"")=$A17,"Khớp","Sai kho"))</f>
        <v/>
      </c>
    </row>
    <row r="18">
      <c r="A18" s="8" t="inlineStr">
        <is>
          <t>AYA</t>
        </is>
      </c>
      <c r="B18" s="8" t="n">
        <v>17</v>
      </c>
      <c r="C18" s="8" t="inlineStr">
        <is>
          <t>#017</t>
        </is>
      </c>
      <c r="D18" s="8" t="inlineStr">
        <is>
          <t>55NANO80ASA.ATV</t>
        </is>
      </c>
      <c r="E18" s="8">
        <f>IF(F18=0,"Còn trống",IF(F18=1,"Đã đăng ký","Trùng đăng ký"))</f>
        <v/>
      </c>
      <c r="F18" s="8">
        <f>COUNTIF(Registrations!$H$2:$H$5000,$C18)</f>
        <v/>
      </c>
      <c r="G18" s="8">
        <f>IFERROR(INDEX(Registrations!$D$2:$D$5000,MATCH($C18,Registrations!$H$2:$H$5000,0)),"")</f>
        <v/>
      </c>
      <c r="H18" s="8">
        <f>IFERROR(INDEX(Registrations!$E$2:$E$5000,MATCH($C18,Registrations!$H$2:$H$5000,0)),"")</f>
        <v/>
      </c>
      <c r="I18" s="8">
        <f>IF(F18=0,"",IF(IFERROR(INDEX(Registrations!$F$2:$F$5000,MATCH($C18,Registrations!$H$2:$H$5000,0)),"")=$A18,"Khớp","Sai kho"))</f>
        <v/>
      </c>
    </row>
    <row r="19">
      <c r="A19" s="5" t="inlineStr">
        <is>
          <t>AYA</t>
        </is>
      </c>
      <c r="B19" s="5" t="n">
        <v>18</v>
      </c>
      <c r="C19" s="5" t="inlineStr">
        <is>
          <t>#018</t>
        </is>
      </c>
      <c r="D19" s="5" t="inlineStr">
        <is>
          <t>55NANO80ASA.ATV</t>
        </is>
      </c>
      <c r="E19" s="5">
        <f>IF(F19=0,"Còn trống",IF(F19=1,"Đã đăng ký","Trùng đăng ký"))</f>
        <v/>
      </c>
      <c r="F19" s="5">
        <f>COUNTIF(Registrations!$H$2:$H$5000,$C19)</f>
        <v/>
      </c>
      <c r="G19" s="5">
        <f>IFERROR(INDEX(Registrations!$D$2:$D$5000,MATCH($C19,Registrations!$H$2:$H$5000,0)),"")</f>
        <v/>
      </c>
      <c r="H19" s="5">
        <f>IFERROR(INDEX(Registrations!$E$2:$E$5000,MATCH($C19,Registrations!$H$2:$H$5000,0)),"")</f>
        <v/>
      </c>
      <c r="I19" s="5">
        <f>IF(F19=0,"",IF(IFERROR(INDEX(Registrations!$F$2:$F$5000,MATCH($C19,Registrations!$H$2:$H$5000,0)),"")=$A19,"Khớp","Sai kho"))</f>
        <v/>
      </c>
    </row>
    <row r="20">
      <c r="A20" s="8" t="inlineStr">
        <is>
          <t>AYA</t>
        </is>
      </c>
      <c r="B20" s="8" t="n">
        <v>19</v>
      </c>
      <c r="C20" s="8" t="inlineStr">
        <is>
          <t>#019</t>
        </is>
      </c>
      <c r="D20" s="8" t="inlineStr">
        <is>
          <t>55NANO80ASA.ATV</t>
        </is>
      </c>
      <c r="E20" s="8">
        <f>IF(F20=0,"Còn trống",IF(F20=1,"Đã đăng ký","Trùng đăng ký"))</f>
        <v/>
      </c>
      <c r="F20" s="8">
        <f>COUNTIF(Registrations!$H$2:$H$5000,$C20)</f>
        <v/>
      </c>
      <c r="G20" s="8">
        <f>IFERROR(INDEX(Registrations!$D$2:$D$5000,MATCH($C20,Registrations!$H$2:$H$5000,0)),"")</f>
        <v/>
      </c>
      <c r="H20" s="8">
        <f>IFERROR(INDEX(Registrations!$E$2:$E$5000,MATCH($C20,Registrations!$H$2:$H$5000,0)),"")</f>
        <v/>
      </c>
      <c r="I20" s="8">
        <f>IF(F20=0,"",IF(IFERROR(INDEX(Registrations!$F$2:$F$5000,MATCH($C20,Registrations!$H$2:$H$5000,0)),"")=$A20,"Khớp","Sai kho"))</f>
        <v/>
      </c>
    </row>
    <row r="21">
      <c r="A21" s="5" t="inlineStr">
        <is>
          <t>AYA</t>
        </is>
      </c>
      <c r="B21" s="5" t="n">
        <v>20</v>
      </c>
      <c r="C21" s="5" t="inlineStr">
        <is>
          <t>#020</t>
        </is>
      </c>
      <c r="D21" s="5" t="inlineStr">
        <is>
          <t>55NANO80ASA.ATV</t>
        </is>
      </c>
      <c r="E21" s="5">
        <f>IF(F21=0,"Còn trống",IF(F21=1,"Đã đăng ký","Trùng đăng ký"))</f>
        <v/>
      </c>
      <c r="F21" s="5">
        <f>COUNTIF(Registrations!$H$2:$H$5000,$C21)</f>
        <v/>
      </c>
      <c r="G21" s="5">
        <f>IFERROR(INDEX(Registrations!$D$2:$D$5000,MATCH($C21,Registrations!$H$2:$H$5000,0)),"")</f>
        <v/>
      </c>
      <c r="H21" s="5">
        <f>IFERROR(INDEX(Registrations!$E$2:$E$5000,MATCH($C21,Registrations!$H$2:$H$5000,0)),"")</f>
        <v/>
      </c>
      <c r="I21" s="5">
        <f>IF(F21=0,"",IF(IFERROR(INDEX(Registrations!$F$2:$F$5000,MATCH($C21,Registrations!$H$2:$H$5000,0)),"")=$A21,"Khớp","Sai kho"))</f>
        <v/>
      </c>
    </row>
    <row r="22">
      <c r="A22" s="8" t="inlineStr">
        <is>
          <t>AYA</t>
        </is>
      </c>
      <c r="B22" s="8" t="n">
        <v>21</v>
      </c>
      <c r="C22" s="8" t="inlineStr">
        <is>
          <t>#021</t>
        </is>
      </c>
      <c r="D22" s="8" t="inlineStr">
        <is>
          <t>65UA7350PSB.ATVQ</t>
        </is>
      </c>
      <c r="E22" s="8">
        <f>IF(F22=0,"Còn trống",IF(F22=1,"Đã đăng ký","Trùng đăng ký"))</f>
        <v/>
      </c>
      <c r="F22" s="8">
        <f>COUNTIF(Registrations!$H$2:$H$5000,$C22)</f>
        <v/>
      </c>
      <c r="G22" s="8">
        <f>IFERROR(INDEX(Registrations!$D$2:$D$5000,MATCH($C22,Registrations!$H$2:$H$5000,0)),"")</f>
        <v/>
      </c>
      <c r="H22" s="8">
        <f>IFERROR(INDEX(Registrations!$E$2:$E$5000,MATCH($C22,Registrations!$H$2:$H$5000,0)),"")</f>
        <v/>
      </c>
      <c r="I22" s="8">
        <f>IF(F22=0,"",IF(IFERROR(INDEX(Registrations!$F$2:$F$5000,MATCH($C22,Registrations!$H$2:$H$5000,0)),"")=$A22,"Khớp","Sai kho"))</f>
        <v/>
      </c>
    </row>
    <row r="23">
      <c r="A23" s="5" t="inlineStr">
        <is>
          <t>AYA</t>
        </is>
      </c>
      <c r="B23" s="5" t="n">
        <v>22</v>
      </c>
      <c r="C23" s="5" t="inlineStr">
        <is>
          <t>#022</t>
        </is>
      </c>
      <c r="D23" s="5" t="inlineStr">
        <is>
          <t>65UA7350PSB.ATVQ</t>
        </is>
      </c>
      <c r="E23" s="5">
        <f>IF(F23=0,"Còn trống",IF(F23=1,"Đã đăng ký","Trùng đăng ký"))</f>
        <v/>
      </c>
      <c r="F23" s="5">
        <f>COUNTIF(Registrations!$H$2:$H$5000,$C23)</f>
        <v/>
      </c>
      <c r="G23" s="5">
        <f>IFERROR(INDEX(Registrations!$D$2:$D$5000,MATCH($C23,Registrations!$H$2:$H$5000,0)),"")</f>
        <v/>
      </c>
      <c r="H23" s="5">
        <f>IFERROR(INDEX(Registrations!$E$2:$E$5000,MATCH($C23,Registrations!$H$2:$H$5000,0)),"")</f>
        <v/>
      </c>
      <c r="I23" s="5">
        <f>IF(F23=0,"",IF(IFERROR(INDEX(Registrations!$F$2:$F$5000,MATCH($C23,Registrations!$H$2:$H$5000,0)),"")=$A23,"Khớp","Sai kho"))</f>
        <v/>
      </c>
    </row>
    <row r="24">
      <c r="A24" s="8" t="inlineStr">
        <is>
          <t>AYA</t>
        </is>
      </c>
      <c r="B24" s="8" t="n">
        <v>23</v>
      </c>
      <c r="C24" s="8" t="inlineStr">
        <is>
          <t>#023</t>
        </is>
      </c>
      <c r="D24" s="8" t="inlineStr">
        <is>
          <t>50UA7350PSB.ATVQ</t>
        </is>
      </c>
      <c r="E24" s="8">
        <f>IF(F24=0,"Còn trống",IF(F24=1,"Đã đăng ký","Trùng đăng ký"))</f>
        <v/>
      </c>
      <c r="F24" s="8">
        <f>COUNTIF(Registrations!$H$2:$H$5000,$C24)</f>
        <v/>
      </c>
      <c r="G24" s="8">
        <f>IFERROR(INDEX(Registrations!$D$2:$D$5000,MATCH($C24,Registrations!$H$2:$H$5000,0)),"")</f>
        <v/>
      </c>
      <c r="H24" s="8">
        <f>IFERROR(INDEX(Registrations!$E$2:$E$5000,MATCH($C24,Registrations!$H$2:$H$5000,0)),"")</f>
        <v/>
      </c>
      <c r="I24" s="8">
        <f>IF(F24=0,"",IF(IFERROR(INDEX(Registrations!$F$2:$F$5000,MATCH($C24,Registrations!$H$2:$H$5000,0)),"")=$A24,"Khớp","Sai kho"))</f>
        <v/>
      </c>
    </row>
    <row r="25">
      <c r="A25" s="5" t="inlineStr">
        <is>
          <t>AYA</t>
        </is>
      </c>
      <c r="B25" s="5" t="n">
        <v>24</v>
      </c>
      <c r="C25" s="5" t="inlineStr">
        <is>
          <t>#024</t>
        </is>
      </c>
      <c r="D25" s="5" t="inlineStr">
        <is>
          <t>50UA7350PSB.ATVQ</t>
        </is>
      </c>
      <c r="E25" s="5">
        <f>IF(F25=0,"Còn trống",IF(F25=1,"Đã đăng ký","Trùng đăng ký"))</f>
        <v/>
      </c>
      <c r="F25" s="5">
        <f>COUNTIF(Registrations!$H$2:$H$5000,$C25)</f>
        <v/>
      </c>
      <c r="G25" s="5">
        <f>IFERROR(INDEX(Registrations!$D$2:$D$5000,MATCH($C25,Registrations!$H$2:$H$5000,0)),"")</f>
        <v/>
      </c>
      <c r="H25" s="5">
        <f>IFERROR(INDEX(Registrations!$E$2:$E$5000,MATCH($C25,Registrations!$H$2:$H$5000,0)),"")</f>
        <v/>
      </c>
      <c r="I25" s="5">
        <f>IF(F25=0,"",IF(IFERROR(INDEX(Registrations!$F$2:$F$5000,MATCH($C25,Registrations!$H$2:$H$5000,0)),"")=$A25,"Khớp","Sai kho"))</f>
        <v/>
      </c>
    </row>
    <row r="26">
      <c r="A26" s="8" t="inlineStr">
        <is>
          <t>AYA</t>
        </is>
      </c>
      <c r="B26" s="8" t="n">
        <v>25</v>
      </c>
      <c r="C26" s="8" t="inlineStr">
        <is>
          <t>#025</t>
        </is>
      </c>
      <c r="D26" s="8" t="inlineStr">
        <is>
          <t>43UA7350PSB.ATVQ</t>
        </is>
      </c>
      <c r="E26" s="8">
        <f>IF(F26=0,"Còn trống",IF(F26=1,"Đã đăng ký","Trùng đăng ký"))</f>
        <v/>
      </c>
      <c r="F26" s="8">
        <f>COUNTIF(Registrations!$H$2:$H$5000,$C26)</f>
        <v/>
      </c>
      <c r="G26" s="8">
        <f>IFERROR(INDEX(Registrations!$D$2:$D$5000,MATCH($C26,Registrations!$H$2:$H$5000,0)),"")</f>
        <v/>
      </c>
      <c r="H26" s="8">
        <f>IFERROR(INDEX(Registrations!$E$2:$E$5000,MATCH($C26,Registrations!$H$2:$H$5000,0)),"")</f>
        <v/>
      </c>
      <c r="I26" s="8">
        <f>IF(F26=0,"",IF(IFERROR(INDEX(Registrations!$F$2:$F$5000,MATCH($C26,Registrations!$H$2:$H$5000,0)),"")=$A26,"Khớp","Sai kho"))</f>
        <v/>
      </c>
    </row>
    <row r="27">
      <c r="A27" s="5" t="inlineStr">
        <is>
          <t>AYA</t>
        </is>
      </c>
      <c r="B27" s="5" t="n">
        <v>26</v>
      </c>
      <c r="C27" s="5" t="inlineStr">
        <is>
          <t>#026</t>
        </is>
      </c>
      <c r="D27" s="5" t="inlineStr">
        <is>
          <t>43UA7350PSB.ATVQ</t>
        </is>
      </c>
      <c r="E27" s="5">
        <f>IF(F27=0,"Còn trống",IF(F27=1,"Đã đăng ký","Trùng đăng ký"))</f>
        <v/>
      </c>
      <c r="F27" s="5">
        <f>COUNTIF(Registrations!$H$2:$H$5000,$C27)</f>
        <v/>
      </c>
      <c r="G27" s="5">
        <f>IFERROR(INDEX(Registrations!$D$2:$D$5000,MATCH($C27,Registrations!$H$2:$H$5000,0)),"")</f>
        <v/>
      </c>
      <c r="H27" s="5">
        <f>IFERROR(INDEX(Registrations!$E$2:$E$5000,MATCH($C27,Registrations!$H$2:$H$5000,0)),"")</f>
        <v/>
      </c>
      <c r="I27" s="5">
        <f>IF(F27=0,"",IF(IFERROR(INDEX(Registrations!$F$2:$F$5000,MATCH($C27,Registrations!$H$2:$H$5000,0)),"")=$A27,"Khớp","Sai kho"))</f>
        <v/>
      </c>
    </row>
    <row r="28">
      <c r="A28" s="8" t="inlineStr">
        <is>
          <t>AYC</t>
        </is>
      </c>
      <c r="B28" s="8" t="n">
        <v>27</v>
      </c>
      <c r="C28" s="8" t="inlineStr">
        <is>
          <t>#027</t>
        </is>
      </c>
      <c r="D28" s="8" t="inlineStr">
        <is>
          <t>75QNED80ASA.ATV</t>
        </is>
      </c>
      <c r="E28" s="8">
        <f>IF(F28=0,"Còn trống",IF(F28=1,"Đã đăng ký","Trùng đăng ký"))</f>
        <v/>
      </c>
      <c r="F28" s="8">
        <f>COUNTIF(Registrations!$H$2:$H$5000,$C28)</f>
        <v/>
      </c>
      <c r="G28" s="8">
        <f>IFERROR(INDEX(Registrations!$D$2:$D$5000,MATCH($C28,Registrations!$H$2:$H$5000,0)),"")</f>
        <v/>
      </c>
      <c r="H28" s="8">
        <f>IFERROR(INDEX(Registrations!$E$2:$E$5000,MATCH($C28,Registrations!$H$2:$H$5000,0)),"")</f>
        <v/>
      </c>
      <c r="I28" s="8">
        <f>IF(F28=0,"",IF(IFERROR(INDEX(Registrations!$F$2:$F$5000,MATCH($C28,Registrations!$H$2:$H$5000,0)),"")=$A28,"Khớp","Sai kho"))</f>
        <v/>
      </c>
    </row>
    <row r="29">
      <c r="A29" s="5" t="inlineStr">
        <is>
          <t>AYC</t>
        </is>
      </c>
      <c r="B29" s="5" t="n">
        <v>28</v>
      </c>
      <c r="C29" s="5" t="inlineStr">
        <is>
          <t>#028</t>
        </is>
      </c>
      <c r="D29" s="5" t="inlineStr">
        <is>
          <t>75QNED80ASA.ATV</t>
        </is>
      </c>
      <c r="E29" s="5">
        <f>IF(F29=0,"Còn trống",IF(F29=1,"Đã đăng ký","Trùng đăng ký"))</f>
        <v/>
      </c>
      <c r="F29" s="5">
        <f>COUNTIF(Registrations!$H$2:$H$5000,$C29)</f>
        <v/>
      </c>
      <c r="G29" s="5">
        <f>IFERROR(INDEX(Registrations!$D$2:$D$5000,MATCH($C29,Registrations!$H$2:$H$5000,0)),"")</f>
        <v/>
      </c>
      <c r="H29" s="5">
        <f>IFERROR(INDEX(Registrations!$E$2:$E$5000,MATCH($C29,Registrations!$H$2:$H$5000,0)),"")</f>
        <v/>
      </c>
      <c r="I29" s="5">
        <f>IF(F29=0,"",IF(IFERROR(INDEX(Registrations!$F$2:$F$5000,MATCH($C29,Registrations!$H$2:$H$5000,0)),"")=$A29,"Khớp","Sai kho"))</f>
        <v/>
      </c>
    </row>
    <row r="30">
      <c r="A30" s="8" t="inlineStr">
        <is>
          <t>AYC</t>
        </is>
      </c>
      <c r="B30" s="8" t="n">
        <v>29</v>
      </c>
      <c r="C30" s="8" t="inlineStr">
        <is>
          <t>#029</t>
        </is>
      </c>
      <c r="D30" s="8" t="inlineStr">
        <is>
          <t>75NANO80ASA.ATV</t>
        </is>
      </c>
      <c r="E30" s="8">
        <f>IF(F30=0,"Còn trống",IF(F30=1,"Đã đăng ký","Trùng đăng ký"))</f>
        <v/>
      </c>
      <c r="F30" s="8">
        <f>COUNTIF(Registrations!$H$2:$H$5000,$C30)</f>
        <v/>
      </c>
      <c r="G30" s="8">
        <f>IFERROR(INDEX(Registrations!$D$2:$D$5000,MATCH($C30,Registrations!$H$2:$H$5000,0)),"")</f>
        <v/>
      </c>
      <c r="H30" s="8">
        <f>IFERROR(INDEX(Registrations!$E$2:$E$5000,MATCH($C30,Registrations!$H$2:$H$5000,0)),"")</f>
        <v/>
      </c>
      <c r="I30" s="8">
        <f>IF(F30=0,"",IF(IFERROR(INDEX(Registrations!$F$2:$F$5000,MATCH($C30,Registrations!$H$2:$H$5000,0)),"")=$A30,"Khớp","Sai kho"))</f>
        <v/>
      </c>
    </row>
    <row r="31">
      <c r="A31" s="5" t="inlineStr">
        <is>
          <t>AYC</t>
        </is>
      </c>
      <c r="B31" s="5" t="n">
        <v>30</v>
      </c>
      <c r="C31" s="5" t="inlineStr">
        <is>
          <t>#030</t>
        </is>
      </c>
      <c r="D31" s="5" t="inlineStr">
        <is>
          <t>75NANO80ASA.ATV</t>
        </is>
      </c>
      <c r="E31" s="5">
        <f>IF(F31=0,"Còn trống",IF(F31=1,"Đã đăng ký","Trùng đăng ký"))</f>
        <v/>
      </c>
      <c r="F31" s="5">
        <f>COUNTIF(Registrations!$H$2:$H$5000,$C31)</f>
        <v/>
      </c>
      <c r="G31" s="5">
        <f>IFERROR(INDEX(Registrations!$D$2:$D$5000,MATCH($C31,Registrations!$H$2:$H$5000,0)),"")</f>
        <v/>
      </c>
      <c r="H31" s="5">
        <f>IFERROR(INDEX(Registrations!$E$2:$E$5000,MATCH($C31,Registrations!$H$2:$H$5000,0)),"")</f>
        <v/>
      </c>
      <c r="I31" s="5">
        <f>IF(F31=0,"",IF(IFERROR(INDEX(Registrations!$F$2:$F$5000,MATCH($C31,Registrations!$H$2:$H$5000,0)),"")=$A31,"Khớp","Sai kho"))</f>
        <v/>
      </c>
    </row>
    <row r="32">
      <c r="A32" s="8" t="inlineStr">
        <is>
          <t>AYC</t>
        </is>
      </c>
      <c r="B32" s="8" t="n">
        <v>31</v>
      </c>
      <c r="C32" s="8" t="inlineStr">
        <is>
          <t>#031</t>
        </is>
      </c>
      <c r="D32" s="8" t="inlineStr">
        <is>
          <t>75NANO80ASA.ATV</t>
        </is>
      </c>
      <c r="E32" s="8">
        <f>IF(F32=0,"Còn trống",IF(F32=1,"Đã đăng ký","Trùng đăng ký"))</f>
        <v/>
      </c>
      <c r="F32" s="8">
        <f>COUNTIF(Registrations!$H$2:$H$5000,$C32)</f>
        <v/>
      </c>
      <c r="G32" s="8">
        <f>IFERROR(INDEX(Registrations!$D$2:$D$5000,MATCH($C32,Registrations!$H$2:$H$5000,0)),"")</f>
        <v/>
      </c>
      <c r="H32" s="8">
        <f>IFERROR(INDEX(Registrations!$E$2:$E$5000,MATCH($C32,Registrations!$H$2:$H$5000,0)),"")</f>
        <v/>
      </c>
      <c r="I32" s="8">
        <f>IF(F32=0,"",IF(IFERROR(INDEX(Registrations!$F$2:$F$5000,MATCH($C32,Registrations!$H$2:$H$5000,0)),"")=$A32,"Khớp","Sai kho"))</f>
        <v/>
      </c>
    </row>
    <row r="33">
      <c r="A33" s="5" t="inlineStr">
        <is>
          <t>AYC</t>
        </is>
      </c>
      <c r="B33" s="5" t="n">
        <v>32</v>
      </c>
      <c r="C33" s="5" t="inlineStr">
        <is>
          <t>#032</t>
        </is>
      </c>
      <c r="D33" s="5" t="inlineStr">
        <is>
          <t>75NANO80ASA.ATV</t>
        </is>
      </c>
      <c r="E33" s="5">
        <f>IF(F33=0,"Còn trống",IF(F33=1,"Đã đăng ký","Trùng đăng ký"))</f>
        <v/>
      </c>
      <c r="F33" s="5">
        <f>COUNTIF(Registrations!$H$2:$H$5000,$C33)</f>
        <v/>
      </c>
      <c r="G33" s="5">
        <f>IFERROR(INDEX(Registrations!$D$2:$D$5000,MATCH($C33,Registrations!$H$2:$H$5000,0)),"")</f>
        <v/>
      </c>
      <c r="H33" s="5">
        <f>IFERROR(INDEX(Registrations!$E$2:$E$5000,MATCH($C33,Registrations!$H$2:$H$5000,0)),"")</f>
        <v/>
      </c>
      <c r="I33" s="5">
        <f>IF(F33=0,"",IF(IFERROR(INDEX(Registrations!$F$2:$F$5000,MATCH($C33,Registrations!$H$2:$H$5000,0)),"")=$A33,"Khớp","Sai kho"))</f>
        <v/>
      </c>
    </row>
    <row r="34">
      <c r="A34" s="8" t="inlineStr">
        <is>
          <t>AYC</t>
        </is>
      </c>
      <c r="B34" s="8" t="n">
        <v>33</v>
      </c>
      <c r="C34" s="8" t="inlineStr">
        <is>
          <t>#033</t>
        </is>
      </c>
      <c r="D34" s="8" t="inlineStr">
        <is>
          <t>75NANO80ASA.ATV</t>
        </is>
      </c>
      <c r="E34" s="8">
        <f>IF(F34=0,"Còn trống",IF(F34=1,"Đã đăng ký","Trùng đăng ký"))</f>
        <v/>
      </c>
      <c r="F34" s="8">
        <f>COUNTIF(Registrations!$H$2:$H$5000,$C34)</f>
        <v/>
      </c>
      <c r="G34" s="8">
        <f>IFERROR(INDEX(Registrations!$D$2:$D$5000,MATCH($C34,Registrations!$H$2:$H$5000,0)),"")</f>
        <v/>
      </c>
      <c r="H34" s="8">
        <f>IFERROR(INDEX(Registrations!$E$2:$E$5000,MATCH($C34,Registrations!$H$2:$H$5000,0)),"")</f>
        <v/>
      </c>
      <c r="I34" s="8">
        <f>IF(F34=0,"",IF(IFERROR(INDEX(Registrations!$F$2:$F$5000,MATCH($C34,Registrations!$H$2:$H$5000,0)),"")=$A34,"Khớp","Sai kho"))</f>
        <v/>
      </c>
    </row>
    <row r="35">
      <c r="A35" s="5" t="inlineStr">
        <is>
          <t>AYC</t>
        </is>
      </c>
      <c r="B35" s="5" t="n">
        <v>34</v>
      </c>
      <c r="C35" s="5" t="inlineStr">
        <is>
          <t>#034</t>
        </is>
      </c>
      <c r="D35" s="5" t="inlineStr">
        <is>
          <t>75NANO80ASA.ATV</t>
        </is>
      </c>
      <c r="E35" s="5">
        <f>IF(F35=0,"Còn trống",IF(F35=1,"Đã đăng ký","Trùng đăng ký"))</f>
        <v/>
      </c>
      <c r="F35" s="5">
        <f>COUNTIF(Registrations!$H$2:$H$5000,$C35)</f>
        <v/>
      </c>
      <c r="G35" s="5">
        <f>IFERROR(INDEX(Registrations!$D$2:$D$5000,MATCH($C35,Registrations!$H$2:$H$5000,0)),"")</f>
        <v/>
      </c>
      <c r="H35" s="5">
        <f>IFERROR(INDEX(Registrations!$E$2:$E$5000,MATCH($C35,Registrations!$H$2:$H$5000,0)),"")</f>
        <v/>
      </c>
      <c r="I35" s="5">
        <f>IF(F35=0,"",IF(IFERROR(INDEX(Registrations!$F$2:$F$5000,MATCH($C35,Registrations!$H$2:$H$5000,0)),"")=$A35,"Khớp","Sai kho"))</f>
        <v/>
      </c>
    </row>
    <row r="36">
      <c r="A36" s="8" t="inlineStr">
        <is>
          <t>AYC</t>
        </is>
      </c>
      <c r="B36" s="8" t="n">
        <v>35</v>
      </c>
      <c r="C36" s="8" t="inlineStr">
        <is>
          <t>#035</t>
        </is>
      </c>
      <c r="D36" s="8" t="inlineStr">
        <is>
          <t>75NANO80ASA.ATV</t>
        </is>
      </c>
      <c r="E36" s="8">
        <f>IF(F36=0,"Còn trống",IF(F36=1,"Đã đăng ký","Trùng đăng ký"))</f>
        <v/>
      </c>
      <c r="F36" s="8">
        <f>COUNTIF(Registrations!$H$2:$H$5000,$C36)</f>
        <v/>
      </c>
      <c r="G36" s="8">
        <f>IFERROR(INDEX(Registrations!$D$2:$D$5000,MATCH($C36,Registrations!$H$2:$H$5000,0)),"")</f>
        <v/>
      </c>
      <c r="H36" s="8">
        <f>IFERROR(INDEX(Registrations!$E$2:$E$5000,MATCH($C36,Registrations!$H$2:$H$5000,0)),"")</f>
        <v/>
      </c>
      <c r="I36" s="8">
        <f>IF(F36=0,"",IF(IFERROR(INDEX(Registrations!$F$2:$F$5000,MATCH($C36,Registrations!$H$2:$H$5000,0)),"")=$A36,"Khớp","Sai kho"))</f>
        <v/>
      </c>
    </row>
    <row r="37">
      <c r="A37" s="5" t="inlineStr">
        <is>
          <t>AYC</t>
        </is>
      </c>
      <c r="B37" s="5" t="n">
        <v>36</v>
      </c>
      <c r="C37" s="5" t="inlineStr">
        <is>
          <t>#036</t>
        </is>
      </c>
      <c r="D37" s="5" t="inlineStr">
        <is>
          <t>75NANO80ASA.ATV</t>
        </is>
      </c>
      <c r="E37" s="5">
        <f>IF(F37=0,"Còn trống",IF(F37=1,"Đã đăng ký","Trùng đăng ký"))</f>
        <v/>
      </c>
      <c r="F37" s="5">
        <f>COUNTIF(Registrations!$H$2:$H$5000,$C37)</f>
        <v/>
      </c>
      <c r="G37" s="5">
        <f>IFERROR(INDEX(Registrations!$D$2:$D$5000,MATCH($C37,Registrations!$H$2:$H$5000,0)),"")</f>
        <v/>
      </c>
      <c r="H37" s="5">
        <f>IFERROR(INDEX(Registrations!$E$2:$E$5000,MATCH($C37,Registrations!$H$2:$H$5000,0)),"")</f>
        <v/>
      </c>
      <c r="I37" s="5">
        <f>IF(F37=0,"",IF(IFERROR(INDEX(Registrations!$F$2:$F$5000,MATCH($C37,Registrations!$H$2:$H$5000,0)),"")=$A37,"Khớp","Sai kho"))</f>
        <v/>
      </c>
    </row>
    <row r="38">
      <c r="A38" s="8" t="inlineStr">
        <is>
          <t>AYC</t>
        </is>
      </c>
      <c r="B38" s="8" t="n">
        <v>37</v>
      </c>
      <c r="C38" s="8" t="inlineStr">
        <is>
          <t>#037</t>
        </is>
      </c>
      <c r="D38" s="8" t="inlineStr">
        <is>
          <t>75NANO80ASA.ATV</t>
        </is>
      </c>
      <c r="E38" s="8">
        <f>IF(F38=0,"Còn trống",IF(F38=1,"Đã đăng ký","Trùng đăng ký"))</f>
        <v/>
      </c>
      <c r="F38" s="8">
        <f>COUNTIF(Registrations!$H$2:$H$5000,$C38)</f>
        <v/>
      </c>
      <c r="G38" s="8">
        <f>IFERROR(INDEX(Registrations!$D$2:$D$5000,MATCH($C38,Registrations!$H$2:$H$5000,0)),"")</f>
        <v/>
      </c>
      <c r="H38" s="8">
        <f>IFERROR(INDEX(Registrations!$E$2:$E$5000,MATCH($C38,Registrations!$H$2:$H$5000,0)),"")</f>
        <v/>
      </c>
      <c r="I38" s="8">
        <f>IF(F38=0,"",IF(IFERROR(INDEX(Registrations!$F$2:$F$5000,MATCH($C38,Registrations!$H$2:$H$5000,0)),"")=$A38,"Khớp","Sai kho"))</f>
        <v/>
      </c>
    </row>
    <row r="39">
      <c r="A39" s="5" t="inlineStr">
        <is>
          <t>AYC</t>
        </is>
      </c>
      <c r="B39" s="5" t="n">
        <v>38</v>
      </c>
      <c r="C39" s="5" t="inlineStr">
        <is>
          <t>#038</t>
        </is>
      </c>
      <c r="D39" s="5" t="inlineStr">
        <is>
          <t>75NANO80ASA.ATV</t>
        </is>
      </c>
      <c r="E39" s="5">
        <f>IF(F39=0,"Còn trống",IF(F39=1,"Đã đăng ký","Trùng đăng ký"))</f>
        <v/>
      </c>
      <c r="F39" s="5">
        <f>COUNTIF(Registrations!$H$2:$H$5000,$C39)</f>
        <v/>
      </c>
      <c r="G39" s="5">
        <f>IFERROR(INDEX(Registrations!$D$2:$D$5000,MATCH($C39,Registrations!$H$2:$H$5000,0)),"")</f>
        <v/>
      </c>
      <c r="H39" s="5">
        <f>IFERROR(INDEX(Registrations!$E$2:$E$5000,MATCH($C39,Registrations!$H$2:$H$5000,0)),"")</f>
        <v/>
      </c>
      <c r="I39" s="5">
        <f>IF(F39=0,"",IF(IFERROR(INDEX(Registrations!$F$2:$F$5000,MATCH($C39,Registrations!$H$2:$H$5000,0)),"")=$A39,"Khớp","Sai kho"))</f>
        <v/>
      </c>
    </row>
    <row r="40">
      <c r="A40" s="8" t="inlineStr">
        <is>
          <t>AYC</t>
        </is>
      </c>
      <c r="B40" s="8" t="n">
        <v>39</v>
      </c>
      <c r="C40" s="8" t="inlineStr">
        <is>
          <t>#039</t>
        </is>
      </c>
      <c r="D40" s="8" t="inlineStr">
        <is>
          <t>75NANO80ASA.ATV</t>
        </is>
      </c>
      <c r="E40" s="8">
        <f>IF(F40=0,"Còn trống",IF(F40=1,"Đã đăng ký","Trùng đăng ký"))</f>
        <v/>
      </c>
      <c r="F40" s="8">
        <f>COUNTIF(Registrations!$H$2:$H$5000,$C40)</f>
        <v/>
      </c>
      <c r="G40" s="8">
        <f>IFERROR(INDEX(Registrations!$D$2:$D$5000,MATCH($C40,Registrations!$H$2:$H$5000,0)),"")</f>
        <v/>
      </c>
      <c r="H40" s="8">
        <f>IFERROR(INDEX(Registrations!$E$2:$E$5000,MATCH($C40,Registrations!$H$2:$H$5000,0)),"")</f>
        <v/>
      </c>
      <c r="I40" s="8">
        <f>IF(F40=0,"",IF(IFERROR(INDEX(Registrations!$F$2:$F$5000,MATCH($C40,Registrations!$H$2:$H$5000,0)),"")=$A40,"Khớp","Sai kho"))</f>
        <v/>
      </c>
    </row>
    <row r="41">
      <c r="A41" s="5" t="inlineStr">
        <is>
          <t>AYB</t>
        </is>
      </c>
      <c r="B41" s="5" t="n">
        <v>40</v>
      </c>
      <c r="C41" s="5" t="inlineStr">
        <is>
          <t>#040</t>
        </is>
      </c>
      <c r="D41" s="5" t="inlineStr">
        <is>
          <t>50UA7350PSB.ATVQ</t>
        </is>
      </c>
      <c r="E41" s="5">
        <f>IF(F41=0,"Còn trống",IF(F41=1,"Đã đăng ký","Trùng đăng ký"))</f>
        <v/>
      </c>
      <c r="F41" s="5">
        <f>COUNTIF(Registrations!$H$2:$H$5000,$C41)</f>
        <v/>
      </c>
      <c r="G41" s="5">
        <f>IFERROR(INDEX(Registrations!$D$2:$D$5000,MATCH($C41,Registrations!$H$2:$H$5000,0)),"")</f>
        <v/>
      </c>
      <c r="H41" s="5">
        <f>IFERROR(INDEX(Registrations!$E$2:$E$5000,MATCH($C41,Registrations!$H$2:$H$5000,0)),"")</f>
        <v/>
      </c>
      <c r="I41" s="5">
        <f>IF(F41=0,"",IF(IFERROR(INDEX(Registrations!$F$2:$F$5000,MATCH($C41,Registrations!$H$2:$H$5000,0)),"")=$A41,"Khớp","Sai kho"))</f>
        <v/>
      </c>
    </row>
    <row r="42">
      <c r="A42" s="8" t="inlineStr">
        <is>
          <t>AYC</t>
        </is>
      </c>
      <c r="B42" s="8" t="n">
        <v>41</v>
      </c>
      <c r="C42" s="8" t="inlineStr">
        <is>
          <t>#041</t>
        </is>
      </c>
      <c r="D42" s="8" t="inlineStr">
        <is>
          <t>65QNED70ASA.ATV</t>
        </is>
      </c>
      <c r="E42" s="8">
        <f>IF(F42=0,"Còn trống",IF(F42=1,"Đã đăng ký","Trùng đăng ký"))</f>
        <v/>
      </c>
      <c r="F42" s="8">
        <f>COUNTIF(Registrations!$H$2:$H$5000,$C42)</f>
        <v/>
      </c>
      <c r="G42" s="8">
        <f>IFERROR(INDEX(Registrations!$D$2:$D$5000,MATCH($C42,Registrations!$H$2:$H$5000,0)),"")</f>
        <v/>
      </c>
      <c r="H42" s="8">
        <f>IFERROR(INDEX(Registrations!$E$2:$E$5000,MATCH($C42,Registrations!$H$2:$H$5000,0)),"")</f>
        <v/>
      </c>
      <c r="I42" s="8">
        <f>IF(F42=0,"",IF(IFERROR(INDEX(Registrations!$F$2:$F$5000,MATCH($C42,Registrations!$H$2:$H$5000,0)),"")=$A42,"Khớp","Sai kho"))</f>
        <v/>
      </c>
    </row>
    <row r="43">
      <c r="A43" s="5" t="inlineStr">
        <is>
          <t>AYC</t>
        </is>
      </c>
      <c r="B43" s="5" t="n">
        <v>42</v>
      </c>
      <c r="C43" s="5" t="inlineStr">
        <is>
          <t>#042</t>
        </is>
      </c>
      <c r="D43" s="5" t="inlineStr">
        <is>
          <t>65QNED70ASA.ATV</t>
        </is>
      </c>
      <c r="E43" s="5">
        <f>IF(F43=0,"Còn trống",IF(F43=1,"Đã đăng ký","Trùng đăng ký"))</f>
        <v/>
      </c>
      <c r="F43" s="5">
        <f>COUNTIF(Registrations!$H$2:$H$5000,$C43)</f>
        <v/>
      </c>
      <c r="G43" s="5">
        <f>IFERROR(INDEX(Registrations!$D$2:$D$5000,MATCH($C43,Registrations!$H$2:$H$5000,0)),"")</f>
        <v/>
      </c>
      <c r="H43" s="5">
        <f>IFERROR(INDEX(Registrations!$E$2:$E$5000,MATCH($C43,Registrations!$H$2:$H$5000,0)),"")</f>
        <v/>
      </c>
      <c r="I43" s="5">
        <f>IF(F43=0,"",IF(IFERROR(INDEX(Registrations!$F$2:$F$5000,MATCH($C43,Registrations!$H$2:$H$5000,0)),"")=$A43,"Khớp","Sai kho"))</f>
        <v/>
      </c>
    </row>
    <row r="44">
      <c r="A44" s="8" t="inlineStr">
        <is>
          <t>AYC</t>
        </is>
      </c>
      <c r="B44" s="8" t="n">
        <v>43</v>
      </c>
      <c r="C44" s="8" t="inlineStr">
        <is>
          <t>#043</t>
        </is>
      </c>
      <c r="D44" s="8" t="inlineStr">
        <is>
          <t>65QNED70ASA.ATV</t>
        </is>
      </c>
      <c r="E44" s="8">
        <f>IF(F44=0,"Còn trống",IF(F44=1,"Đã đăng ký","Trùng đăng ký"))</f>
        <v/>
      </c>
      <c r="F44" s="8">
        <f>COUNTIF(Registrations!$H$2:$H$5000,$C44)</f>
        <v/>
      </c>
      <c r="G44" s="8">
        <f>IFERROR(INDEX(Registrations!$D$2:$D$5000,MATCH($C44,Registrations!$H$2:$H$5000,0)),"")</f>
        <v/>
      </c>
      <c r="H44" s="8">
        <f>IFERROR(INDEX(Registrations!$E$2:$E$5000,MATCH($C44,Registrations!$H$2:$H$5000,0)),"")</f>
        <v/>
      </c>
      <c r="I44" s="8">
        <f>IF(F44=0,"",IF(IFERROR(INDEX(Registrations!$F$2:$F$5000,MATCH($C44,Registrations!$H$2:$H$5000,0)),"")=$A44,"Khớp","Sai kho"))</f>
        <v/>
      </c>
    </row>
    <row r="45">
      <c r="A45" s="5" t="inlineStr">
        <is>
          <t>AYC</t>
        </is>
      </c>
      <c r="B45" s="5" t="n">
        <v>44</v>
      </c>
      <c r="C45" s="5" t="inlineStr">
        <is>
          <t>#044</t>
        </is>
      </c>
      <c r="D45" s="5" t="inlineStr">
        <is>
          <t>65QNED70ASA.ATV</t>
        </is>
      </c>
      <c r="E45" s="5">
        <f>IF(F45=0,"Còn trống",IF(F45=1,"Đã đăng ký","Trùng đăng ký"))</f>
        <v/>
      </c>
      <c r="F45" s="5">
        <f>COUNTIF(Registrations!$H$2:$H$5000,$C45)</f>
        <v/>
      </c>
      <c r="G45" s="5">
        <f>IFERROR(INDEX(Registrations!$D$2:$D$5000,MATCH($C45,Registrations!$H$2:$H$5000,0)),"")</f>
        <v/>
      </c>
      <c r="H45" s="5">
        <f>IFERROR(INDEX(Registrations!$E$2:$E$5000,MATCH($C45,Registrations!$H$2:$H$5000,0)),"")</f>
        <v/>
      </c>
      <c r="I45" s="5">
        <f>IF(F45=0,"",IF(IFERROR(INDEX(Registrations!$F$2:$F$5000,MATCH($C45,Registrations!$H$2:$H$5000,0)),"")=$A45,"Khớp","Sai kho"))</f>
        <v/>
      </c>
    </row>
    <row r="46">
      <c r="A46" s="8" t="inlineStr">
        <is>
          <t>AYC</t>
        </is>
      </c>
      <c r="B46" s="8" t="n">
        <v>45</v>
      </c>
      <c r="C46" s="8" t="inlineStr">
        <is>
          <t>#045</t>
        </is>
      </c>
      <c r="D46" s="8" t="inlineStr">
        <is>
          <t>43QNED70ASA.ATV</t>
        </is>
      </c>
      <c r="E46" s="8">
        <f>IF(F46=0,"Còn trống",IF(F46=1,"Đã đăng ký","Trùng đăng ký"))</f>
        <v/>
      </c>
      <c r="F46" s="8">
        <f>COUNTIF(Registrations!$H$2:$H$5000,$C46)</f>
        <v/>
      </c>
      <c r="G46" s="8">
        <f>IFERROR(INDEX(Registrations!$D$2:$D$5000,MATCH($C46,Registrations!$H$2:$H$5000,0)),"")</f>
        <v/>
      </c>
      <c r="H46" s="8">
        <f>IFERROR(INDEX(Registrations!$E$2:$E$5000,MATCH($C46,Registrations!$H$2:$H$5000,0)),"")</f>
        <v/>
      </c>
      <c r="I46" s="8">
        <f>IF(F46=0,"",IF(IFERROR(INDEX(Registrations!$F$2:$F$5000,MATCH($C46,Registrations!$H$2:$H$5000,0)),"")=$A46,"Khớp","Sai kho"))</f>
        <v/>
      </c>
    </row>
    <row r="47">
      <c r="A47" s="5" t="inlineStr">
        <is>
          <t>AYC</t>
        </is>
      </c>
      <c r="B47" s="5" t="n">
        <v>46</v>
      </c>
      <c r="C47" s="5" t="inlineStr">
        <is>
          <t>#046</t>
        </is>
      </c>
      <c r="D47" s="5" t="inlineStr">
        <is>
          <t>43QNED70ASA.ATV</t>
        </is>
      </c>
      <c r="E47" s="5">
        <f>IF(F47=0,"Còn trống",IF(F47=1,"Đã đăng ký","Trùng đăng ký"))</f>
        <v/>
      </c>
      <c r="F47" s="5">
        <f>COUNTIF(Registrations!$H$2:$H$5000,$C47)</f>
        <v/>
      </c>
      <c r="G47" s="5">
        <f>IFERROR(INDEX(Registrations!$D$2:$D$5000,MATCH($C47,Registrations!$H$2:$H$5000,0)),"")</f>
        <v/>
      </c>
      <c r="H47" s="5">
        <f>IFERROR(INDEX(Registrations!$E$2:$E$5000,MATCH($C47,Registrations!$H$2:$H$5000,0)),"")</f>
        <v/>
      </c>
      <c r="I47" s="5">
        <f>IF(F47=0,"",IF(IFERROR(INDEX(Registrations!$F$2:$F$5000,MATCH($C47,Registrations!$H$2:$H$5000,0)),"")=$A47,"Khớp","Sai kho"))</f>
        <v/>
      </c>
    </row>
    <row r="48">
      <c r="A48" s="8" t="inlineStr">
        <is>
          <t>AYC</t>
        </is>
      </c>
      <c r="B48" s="8" t="n">
        <v>47</v>
      </c>
      <c r="C48" s="8" t="inlineStr">
        <is>
          <t>#047</t>
        </is>
      </c>
      <c r="D48" s="8" t="inlineStr">
        <is>
          <t>65UA8450PSA.ATV</t>
        </is>
      </c>
      <c r="E48" s="8">
        <f>IF(F48=0,"Còn trống",IF(F48=1,"Đã đăng ký","Trùng đăng ký"))</f>
        <v/>
      </c>
      <c r="F48" s="8">
        <f>COUNTIF(Registrations!$H$2:$H$5000,$C48)</f>
        <v/>
      </c>
      <c r="G48" s="8">
        <f>IFERROR(INDEX(Registrations!$D$2:$D$5000,MATCH($C48,Registrations!$H$2:$H$5000,0)),"")</f>
        <v/>
      </c>
      <c r="H48" s="8">
        <f>IFERROR(INDEX(Registrations!$E$2:$E$5000,MATCH($C48,Registrations!$H$2:$H$5000,0)),"")</f>
        <v/>
      </c>
      <c r="I48" s="8">
        <f>IF(F48=0,"",IF(IFERROR(INDEX(Registrations!$F$2:$F$5000,MATCH($C48,Registrations!$H$2:$H$5000,0)),"")=$A48,"Khớp","Sai kho"))</f>
        <v/>
      </c>
    </row>
    <row r="49">
      <c r="A49" s="5" t="inlineStr">
        <is>
          <t>AYC</t>
        </is>
      </c>
      <c r="B49" s="5" t="n">
        <v>48</v>
      </c>
      <c r="C49" s="5" t="inlineStr">
        <is>
          <t>#048</t>
        </is>
      </c>
      <c r="D49" s="5" t="inlineStr">
        <is>
          <t>55UA8450PSA.ATV</t>
        </is>
      </c>
      <c r="E49" s="5">
        <f>IF(F49=0,"Còn trống",IF(F49=1,"Đã đăng ký","Trùng đăng ký"))</f>
        <v/>
      </c>
      <c r="F49" s="5">
        <f>COUNTIF(Registrations!$H$2:$H$5000,$C49)</f>
        <v/>
      </c>
      <c r="G49" s="5">
        <f>IFERROR(INDEX(Registrations!$D$2:$D$5000,MATCH($C49,Registrations!$H$2:$H$5000,0)),"")</f>
        <v/>
      </c>
      <c r="H49" s="5">
        <f>IFERROR(INDEX(Registrations!$E$2:$E$5000,MATCH($C49,Registrations!$H$2:$H$5000,0)),"")</f>
        <v/>
      </c>
      <c r="I49" s="5">
        <f>IF(F49=0,"",IF(IFERROR(INDEX(Registrations!$F$2:$F$5000,MATCH($C49,Registrations!$H$2:$H$5000,0)),"")=$A49,"Khớp","Sai kho"))</f>
        <v/>
      </c>
    </row>
    <row r="50">
      <c r="A50" s="8" t="inlineStr">
        <is>
          <t>AYC</t>
        </is>
      </c>
      <c r="B50" s="8" t="n">
        <v>49</v>
      </c>
      <c r="C50" s="8" t="inlineStr">
        <is>
          <t>#049</t>
        </is>
      </c>
      <c r="D50" s="8" t="inlineStr">
        <is>
          <t>27LX6TDGA.ATV</t>
        </is>
      </c>
      <c r="E50" s="8">
        <f>IF(F50=0,"Còn trống",IF(F50=1,"Đã đăng ký","Trùng đăng ký"))</f>
        <v/>
      </c>
      <c r="F50" s="8">
        <f>COUNTIF(Registrations!$H$2:$H$5000,$C50)</f>
        <v/>
      </c>
      <c r="G50" s="8">
        <f>IFERROR(INDEX(Registrations!$D$2:$D$5000,MATCH($C50,Registrations!$H$2:$H$5000,0)),"")</f>
        <v/>
      </c>
      <c r="H50" s="8">
        <f>IFERROR(INDEX(Registrations!$E$2:$E$5000,MATCH($C50,Registrations!$H$2:$H$5000,0)),"")</f>
        <v/>
      </c>
      <c r="I50" s="8">
        <f>IF(F50=0,"",IF(IFERROR(INDEX(Registrations!$F$2:$F$5000,MATCH($C50,Registrations!$H$2:$H$5000,0)),"")=$A50,"Khớp","Sai kho"))</f>
        <v/>
      </c>
    </row>
    <row r="51">
      <c r="A51" s="5" t="inlineStr">
        <is>
          <t>AYC</t>
        </is>
      </c>
      <c r="B51" s="5" t="n">
        <v>50</v>
      </c>
      <c r="C51" s="5" t="inlineStr">
        <is>
          <t>#050</t>
        </is>
      </c>
      <c r="D51" s="5" t="inlineStr">
        <is>
          <t>43UA8450PSA.ATV</t>
        </is>
      </c>
      <c r="E51" s="5">
        <f>IF(F51=0,"Còn trống",IF(F51=1,"Đã đăng ký","Trùng đăng ký"))</f>
        <v/>
      </c>
      <c r="F51" s="5">
        <f>COUNTIF(Registrations!$H$2:$H$5000,$C51)</f>
        <v/>
      </c>
      <c r="G51" s="5">
        <f>IFERROR(INDEX(Registrations!$D$2:$D$5000,MATCH($C51,Registrations!$H$2:$H$5000,0)),"")</f>
        <v/>
      </c>
      <c r="H51" s="5">
        <f>IFERROR(INDEX(Registrations!$E$2:$E$5000,MATCH($C51,Registrations!$H$2:$H$5000,0)),"")</f>
        <v/>
      </c>
      <c r="I51" s="5">
        <f>IF(F51=0,"",IF(IFERROR(INDEX(Registrations!$F$2:$F$5000,MATCH($C51,Registrations!$H$2:$H$5000,0)),"")=$A51,"Khớp","Sai kho"))</f>
        <v/>
      </c>
    </row>
    <row r="52">
      <c r="A52" s="8" t="inlineStr">
        <is>
          <t>AYC</t>
        </is>
      </c>
      <c r="B52" s="8" t="n">
        <v>51</v>
      </c>
      <c r="C52" s="8" t="inlineStr">
        <is>
          <t>#051</t>
        </is>
      </c>
      <c r="D52" s="8" t="inlineStr">
        <is>
          <t>43UQ7050PSA.ATVQ</t>
        </is>
      </c>
      <c r="E52" s="8">
        <f>IF(F52=0,"Còn trống",IF(F52=1,"Đã đăng ký","Trùng đăng ký"))</f>
        <v/>
      </c>
      <c r="F52" s="8">
        <f>COUNTIF(Registrations!$H$2:$H$5000,$C52)</f>
        <v/>
      </c>
      <c r="G52" s="8">
        <f>IFERROR(INDEX(Registrations!$D$2:$D$5000,MATCH($C52,Registrations!$H$2:$H$5000,0)),"")</f>
        <v/>
      </c>
      <c r="H52" s="8">
        <f>IFERROR(INDEX(Registrations!$E$2:$E$5000,MATCH($C52,Registrations!$H$2:$H$5000,0)),"")</f>
        <v/>
      </c>
      <c r="I52" s="8">
        <f>IF(F52=0,"",IF(IFERROR(INDEX(Registrations!$F$2:$F$5000,MATCH($C52,Registrations!$H$2:$H$5000,0)),"")=$A52,"Khớp","Sai kho"))</f>
        <v/>
      </c>
    </row>
    <row r="53">
      <c r="A53" s="5" t="inlineStr">
        <is>
          <t>AYC</t>
        </is>
      </c>
      <c r="B53" s="5" t="n">
        <v>52</v>
      </c>
      <c r="C53" s="5" t="inlineStr">
        <is>
          <t>#052</t>
        </is>
      </c>
      <c r="D53" s="5" t="inlineStr">
        <is>
          <t>55QNED86ASA.ATV</t>
        </is>
      </c>
      <c r="E53" s="5">
        <f>IF(F53=0,"Còn trống",IF(F53=1,"Đã đăng ký","Trùng đăng ký"))</f>
        <v/>
      </c>
      <c r="F53" s="5">
        <f>COUNTIF(Registrations!$H$2:$H$5000,$C53)</f>
        <v/>
      </c>
      <c r="G53" s="5">
        <f>IFERROR(INDEX(Registrations!$D$2:$D$5000,MATCH($C53,Registrations!$H$2:$H$5000,0)),"")</f>
        <v/>
      </c>
      <c r="H53" s="5">
        <f>IFERROR(INDEX(Registrations!$E$2:$E$5000,MATCH($C53,Registrations!$H$2:$H$5000,0)),"")</f>
        <v/>
      </c>
      <c r="I53" s="5">
        <f>IF(F53=0,"",IF(IFERROR(INDEX(Registrations!$F$2:$F$5000,MATCH($C53,Registrations!$H$2:$H$5000,0)),"")=$A53,"Khớp","Sai kho"))</f>
        <v/>
      </c>
    </row>
    <row r="54">
      <c r="A54" s="8" t="inlineStr">
        <is>
          <t>AYC</t>
        </is>
      </c>
      <c r="B54" s="8" t="n">
        <v>53</v>
      </c>
      <c r="C54" s="8" t="inlineStr">
        <is>
          <t>#053</t>
        </is>
      </c>
      <c r="D54" s="8" t="inlineStr">
        <is>
          <t>55QNED86BSA.ATV</t>
        </is>
      </c>
      <c r="E54" s="8">
        <f>IF(F54=0,"Còn trống",IF(F54=1,"Đã đăng ký","Trùng đăng ký"))</f>
        <v/>
      </c>
      <c r="F54" s="8">
        <f>COUNTIF(Registrations!$H$2:$H$5000,$C54)</f>
        <v/>
      </c>
      <c r="G54" s="8">
        <f>IFERROR(INDEX(Registrations!$D$2:$D$5000,MATCH($C54,Registrations!$H$2:$H$5000,0)),"")</f>
        <v/>
      </c>
      <c r="H54" s="8">
        <f>IFERROR(INDEX(Registrations!$E$2:$E$5000,MATCH($C54,Registrations!$H$2:$H$5000,0)),"")</f>
        <v/>
      </c>
      <c r="I54" s="8">
        <f>IF(F54=0,"",IF(IFERROR(INDEX(Registrations!$F$2:$F$5000,MATCH($C54,Registrations!$H$2:$H$5000,0)),"")=$A54,"Khớp","Sai kho"))</f>
        <v/>
      </c>
    </row>
    <row r="55">
      <c r="A55" s="5" t="inlineStr">
        <is>
          <t>AYC</t>
        </is>
      </c>
      <c r="B55" s="5" t="n">
        <v>54</v>
      </c>
      <c r="C55" s="5" t="inlineStr">
        <is>
          <t>#054</t>
        </is>
      </c>
      <c r="D55" s="5" t="inlineStr">
        <is>
          <t>55UA8450PSA.ATV</t>
        </is>
      </c>
      <c r="E55" s="5">
        <f>IF(F55=0,"Còn trống",IF(F55=1,"Đã đăng ký","Trùng đăng ký"))</f>
        <v/>
      </c>
      <c r="F55" s="5">
        <f>COUNTIF(Registrations!$H$2:$H$5000,$C55)</f>
        <v/>
      </c>
      <c r="G55" s="5">
        <f>IFERROR(INDEX(Registrations!$D$2:$D$5000,MATCH($C55,Registrations!$H$2:$H$5000,0)),"")</f>
        <v/>
      </c>
      <c r="H55" s="5">
        <f>IFERROR(INDEX(Registrations!$E$2:$E$5000,MATCH($C55,Registrations!$H$2:$H$5000,0)),"")</f>
        <v/>
      </c>
      <c r="I55" s="5">
        <f>IF(F55=0,"",IF(IFERROR(INDEX(Registrations!$F$2:$F$5000,MATCH($C55,Registrations!$H$2:$H$5000,0)),"")=$A55,"Khớp","Sai kho"))</f>
        <v/>
      </c>
    </row>
    <row r="56">
      <c r="A56" s="8" t="inlineStr">
        <is>
          <t>AYC</t>
        </is>
      </c>
      <c r="B56" s="8" t="n">
        <v>55</v>
      </c>
      <c r="C56" s="8" t="inlineStr">
        <is>
          <t>#055</t>
        </is>
      </c>
      <c r="D56" s="8" t="inlineStr">
        <is>
          <t>65QNED80BSA.ATV</t>
        </is>
      </c>
      <c r="E56" s="8">
        <f>IF(F56=0,"Còn trống",IF(F56=1,"Đã đăng ký","Trùng đăng ký"))</f>
        <v/>
      </c>
      <c r="F56" s="8">
        <f>COUNTIF(Registrations!$H$2:$H$5000,$C56)</f>
        <v/>
      </c>
      <c r="G56" s="8">
        <f>IFERROR(INDEX(Registrations!$D$2:$D$5000,MATCH($C56,Registrations!$H$2:$H$5000,0)),"")</f>
        <v/>
      </c>
      <c r="H56" s="8">
        <f>IFERROR(INDEX(Registrations!$E$2:$E$5000,MATCH($C56,Registrations!$H$2:$H$5000,0)),"")</f>
        <v/>
      </c>
      <c r="I56" s="8">
        <f>IF(F56=0,"",IF(IFERROR(INDEX(Registrations!$F$2:$F$5000,MATCH($C56,Registrations!$H$2:$H$5000,0)),"")=$A56,"Khớp","Sai kho"))</f>
        <v/>
      </c>
    </row>
    <row r="57">
      <c r="A57" s="5" t="inlineStr">
        <is>
          <t>AYC</t>
        </is>
      </c>
      <c r="B57" s="5" t="n">
        <v>56</v>
      </c>
      <c r="C57" s="5" t="inlineStr">
        <is>
          <t>#056</t>
        </is>
      </c>
      <c r="D57" s="5" t="inlineStr">
        <is>
          <t>65QNED86ASA.ATV</t>
        </is>
      </c>
      <c r="E57" s="5">
        <f>IF(F57=0,"Còn trống",IF(F57=1,"Đã đăng ký","Trùng đăng ký"))</f>
        <v/>
      </c>
      <c r="F57" s="5">
        <f>COUNTIF(Registrations!$H$2:$H$5000,$C57)</f>
        <v/>
      </c>
      <c r="G57" s="5">
        <f>IFERROR(INDEX(Registrations!$D$2:$D$5000,MATCH($C57,Registrations!$H$2:$H$5000,0)),"")</f>
        <v/>
      </c>
      <c r="H57" s="5">
        <f>IFERROR(INDEX(Registrations!$E$2:$E$5000,MATCH($C57,Registrations!$H$2:$H$5000,0)),"")</f>
        <v/>
      </c>
      <c r="I57" s="5">
        <f>IF(F57=0,"",IF(IFERROR(INDEX(Registrations!$F$2:$F$5000,MATCH($C57,Registrations!$H$2:$H$5000,0)),"")=$A57,"Khớp","Sai kho"))</f>
        <v/>
      </c>
    </row>
    <row r="58">
      <c r="A58" s="8" t="inlineStr">
        <is>
          <t>AYC</t>
        </is>
      </c>
      <c r="B58" s="8" t="n">
        <v>57</v>
      </c>
      <c r="C58" s="8" t="inlineStr">
        <is>
          <t>#057</t>
        </is>
      </c>
      <c r="D58" s="8" t="inlineStr">
        <is>
          <t>65QNED86BSA.ATV</t>
        </is>
      </c>
      <c r="E58" s="8">
        <f>IF(F58=0,"Còn trống",IF(F58=1,"Đã đăng ký","Trùng đăng ký"))</f>
        <v/>
      </c>
      <c r="F58" s="8">
        <f>COUNTIF(Registrations!$H$2:$H$5000,$C58)</f>
        <v/>
      </c>
      <c r="G58" s="8">
        <f>IFERROR(INDEX(Registrations!$D$2:$D$5000,MATCH($C58,Registrations!$H$2:$H$5000,0)),"")</f>
        <v/>
      </c>
      <c r="H58" s="8">
        <f>IFERROR(INDEX(Registrations!$E$2:$E$5000,MATCH($C58,Registrations!$H$2:$H$5000,0)),"")</f>
        <v/>
      </c>
      <c r="I58" s="8">
        <f>IF(F58=0,"",IF(IFERROR(INDEX(Registrations!$F$2:$F$5000,MATCH($C58,Registrations!$H$2:$H$5000,0)),"")=$A58,"Khớp","Sai kho"))</f>
        <v/>
      </c>
    </row>
    <row r="59">
      <c r="A59" s="5" t="inlineStr">
        <is>
          <t>AYC</t>
        </is>
      </c>
      <c r="B59" s="5" t="n">
        <v>58</v>
      </c>
      <c r="C59" s="5" t="inlineStr">
        <is>
          <t>#058</t>
        </is>
      </c>
      <c r="D59" s="5" t="inlineStr">
        <is>
          <t>75QNED82ASA.AGADLHX</t>
        </is>
      </c>
      <c r="E59" s="5">
        <f>IF(F59=0,"Còn trống",IF(F59=1,"Đã đăng ký","Trùng đăng ký"))</f>
        <v/>
      </c>
      <c r="F59" s="5">
        <f>COUNTIF(Registrations!$H$2:$H$5000,$C59)</f>
        <v/>
      </c>
      <c r="G59" s="5">
        <f>IFERROR(INDEX(Registrations!$D$2:$D$5000,MATCH($C59,Registrations!$H$2:$H$5000,0)),"")</f>
        <v/>
      </c>
      <c r="H59" s="5">
        <f>IFERROR(INDEX(Registrations!$E$2:$E$5000,MATCH($C59,Registrations!$H$2:$H$5000,0)),"")</f>
        <v/>
      </c>
      <c r="I59" s="5">
        <f>IF(F59=0,"",IF(IFERROR(INDEX(Registrations!$F$2:$F$5000,MATCH($C59,Registrations!$H$2:$H$5000,0)),"")=$A59,"Khớp","Sai kho"))</f>
        <v/>
      </c>
    </row>
    <row r="60">
      <c r="A60" s="8" t="inlineStr">
        <is>
          <t>AYC</t>
        </is>
      </c>
      <c r="B60" s="8" t="n">
        <v>59</v>
      </c>
      <c r="C60" s="8" t="inlineStr">
        <is>
          <t>#059</t>
        </is>
      </c>
      <c r="D60" s="8" t="inlineStr">
        <is>
          <t>75QNED86BSA.ATV</t>
        </is>
      </c>
      <c r="E60" s="8">
        <f>IF(F60=0,"Còn trống",IF(F60=1,"Đã đăng ký","Trùng đăng ký"))</f>
        <v/>
      </c>
      <c r="F60" s="8">
        <f>COUNTIF(Registrations!$H$2:$H$5000,$C60)</f>
        <v/>
      </c>
      <c r="G60" s="8">
        <f>IFERROR(INDEX(Registrations!$D$2:$D$5000,MATCH($C60,Registrations!$H$2:$H$5000,0)),"")</f>
        <v/>
      </c>
      <c r="H60" s="8">
        <f>IFERROR(INDEX(Registrations!$E$2:$E$5000,MATCH($C60,Registrations!$H$2:$H$5000,0)),"")</f>
        <v/>
      </c>
      <c r="I60" s="8">
        <f>IF(F60=0,"",IF(IFERROR(INDEX(Registrations!$F$2:$F$5000,MATCH($C60,Registrations!$H$2:$H$5000,0)),"")=$A60,"Khớp","Sai kho"))</f>
        <v/>
      </c>
    </row>
    <row r="61">
      <c r="A61" s="5" t="inlineStr">
        <is>
          <t>AYC</t>
        </is>
      </c>
      <c r="B61" s="5" t="n">
        <v>60</v>
      </c>
      <c r="C61" s="5" t="inlineStr">
        <is>
          <t>#060</t>
        </is>
      </c>
      <c r="D61" s="5" t="inlineStr">
        <is>
          <t>75QNED9MASA.AGAFLHX</t>
        </is>
      </c>
      <c r="E61" s="5">
        <f>IF(F61=0,"Còn trống",IF(F61=1,"Đã đăng ký","Trùng đăng ký"))</f>
        <v/>
      </c>
      <c r="F61" s="5">
        <f>COUNTIF(Registrations!$H$2:$H$5000,$C61)</f>
        <v/>
      </c>
      <c r="G61" s="5">
        <f>IFERROR(INDEX(Registrations!$D$2:$D$5000,MATCH($C61,Registrations!$H$2:$H$5000,0)),"")</f>
        <v/>
      </c>
      <c r="H61" s="5">
        <f>IFERROR(INDEX(Registrations!$E$2:$E$5000,MATCH($C61,Registrations!$H$2:$H$5000,0)),"")</f>
        <v/>
      </c>
      <c r="I61" s="5">
        <f>IF(F61=0,"",IF(IFERROR(INDEX(Registrations!$F$2:$F$5000,MATCH($C61,Registrations!$H$2:$H$5000,0)),"")=$A61,"Khớp","Sai kho"))</f>
        <v/>
      </c>
    </row>
    <row r="62">
      <c r="A62" s="8" t="inlineStr">
        <is>
          <t>AYC</t>
        </is>
      </c>
      <c r="B62" s="8" t="n">
        <v>61</v>
      </c>
      <c r="C62" s="8" t="inlineStr">
        <is>
          <t>#061</t>
        </is>
      </c>
      <c r="D62" s="8" t="inlineStr">
        <is>
          <t>OLED65G5PSA.ATV</t>
        </is>
      </c>
      <c r="E62" s="8">
        <f>IF(F62=0,"Còn trống",IF(F62=1,"Đã đăng ký","Trùng đăng ký"))</f>
        <v/>
      </c>
      <c r="F62" s="8">
        <f>COUNTIF(Registrations!$H$2:$H$5000,$C62)</f>
        <v/>
      </c>
      <c r="G62" s="8">
        <f>IFERROR(INDEX(Registrations!$D$2:$D$5000,MATCH($C62,Registrations!$H$2:$H$5000,0)),"")</f>
        <v/>
      </c>
      <c r="H62" s="8">
        <f>IFERROR(INDEX(Registrations!$E$2:$E$5000,MATCH($C62,Registrations!$H$2:$H$5000,0)),"")</f>
        <v/>
      </c>
      <c r="I62" s="8">
        <f>IF(F62=0,"",IF(IFERROR(INDEX(Registrations!$F$2:$F$5000,MATCH($C62,Registrations!$H$2:$H$5000,0)),"")=$A62,"Khớp","Sai kho"))</f>
        <v/>
      </c>
    </row>
    <row r="63">
      <c r="A63" s="5" t="inlineStr">
        <is>
          <t>AYC</t>
        </is>
      </c>
      <c r="B63" s="5" t="n">
        <v>62</v>
      </c>
      <c r="C63" s="5" t="inlineStr">
        <is>
          <t>#062</t>
        </is>
      </c>
      <c r="D63" s="5" t="inlineStr">
        <is>
          <t>OLED77C44LA.AEUQLHX</t>
        </is>
      </c>
      <c r="E63" s="5">
        <f>IF(F63=0,"Còn trống",IF(F63=1,"Đã đăng ký","Trùng đăng ký"))</f>
        <v/>
      </c>
      <c r="F63" s="5">
        <f>COUNTIF(Registrations!$H$2:$H$5000,$C63)</f>
        <v/>
      </c>
      <c r="G63" s="5">
        <f>IFERROR(INDEX(Registrations!$D$2:$D$5000,MATCH($C63,Registrations!$H$2:$H$5000,0)),"")</f>
        <v/>
      </c>
      <c r="H63" s="5">
        <f>IFERROR(INDEX(Registrations!$E$2:$E$5000,MATCH($C63,Registrations!$H$2:$H$5000,0)),"")</f>
        <v/>
      </c>
      <c r="I63" s="5">
        <f>IF(F63=0,"",IF(IFERROR(INDEX(Registrations!$F$2:$F$5000,MATCH($C63,Registrations!$H$2:$H$5000,0)),"")=$A63,"Khớp","Sai kho"))</f>
        <v/>
      </c>
    </row>
    <row r="64">
      <c r="A64" s="8" t="inlineStr">
        <is>
          <t>AYC</t>
        </is>
      </c>
      <c r="B64" s="8" t="n">
        <v>63</v>
      </c>
      <c r="C64" s="8" t="inlineStr">
        <is>
          <t>#063</t>
        </is>
      </c>
      <c r="D64" s="8" t="inlineStr">
        <is>
          <t>OLED77C54LA.AEUQLHX</t>
        </is>
      </c>
      <c r="E64" s="8">
        <f>IF(F64=0,"Còn trống",IF(F64=1,"Đã đăng ký","Trùng đăng ký"))</f>
        <v/>
      </c>
      <c r="F64" s="8">
        <f>COUNTIF(Registrations!$H$2:$H$5000,$C64)</f>
        <v/>
      </c>
      <c r="G64" s="8">
        <f>IFERROR(INDEX(Registrations!$D$2:$D$5000,MATCH($C64,Registrations!$H$2:$H$5000,0)),"")</f>
        <v/>
      </c>
      <c r="H64" s="8">
        <f>IFERROR(INDEX(Registrations!$E$2:$E$5000,MATCH($C64,Registrations!$H$2:$H$5000,0)),"")</f>
        <v/>
      </c>
      <c r="I64" s="8">
        <f>IF(F64=0,"",IF(IFERROR(INDEX(Registrations!$F$2:$F$5000,MATCH($C64,Registrations!$H$2:$H$5000,0)),"")=$A64,"Khớp","Sai kho"))</f>
        <v/>
      </c>
    </row>
    <row r="65">
      <c r="A65" s="5" t="inlineStr">
        <is>
          <t>AYC</t>
        </is>
      </c>
      <c r="B65" s="5" t="n">
        <v>64</v>
      </c>
      <c r="C65" s="5" t="inlineStr">
        <is>
          <t>#064</t>
        </is>
      </c>
      <c r="D65" s="5" t="inlineStr">
        <is>
          <t>OLED83B5PSA.AGAQLHX</t>
        </is>
      </c>
      <c r="E65" s="5">
        <f>IF(F65=0,"Còn trống",IF(F65=1,"Đã đăng ký","Trùng đăng ký"))</f>
        <v/>
      </c>
      <c r="F65" s="5">
        <f>COUNTIF(Registrations!$H$2:$H$5000,$C65)</f>
        <v/>
      </c>
      <c r="G65" s="5">
        <f>IFERROR(INDEX(Registrations!$D$2:$D$5000,MATCH($C65,Registrations!$H$2:$H$5000,0)),"")</f>
        <v/>
      </c>
      <c r="H65" s="5">
        <f>IFERROR(INDEX(Registrations!$E$2:$E$5000,MATCH($C65,Registrations!$H$2:$H$5000,0)),"")</f>
        <v/>
      </c>
      <c r="I65" s="5">
        <f>IF(F65=0,"",IF(IFERROR(INDEX(Registrations!$F$2:$F$5000,MATCH($C65,Registrations!$H$2:$H$5000,0)),"")=$A65,"Khớp","Sai kho"))</f>
        <v/>
      </c>
    </row>
    <row r="66">
      <c r="A66" s="8" t="inlineStr">
        <is>
          <t>AYC</t>
        </is>
      </c>
      <c r="B66" s="8" t="n">
        <v>65</v>
      </c>
      <c r="C66" s="8" t="inlineStr">
        <is>
          <t>#065</t>
        </is>
      </c>
      <c r="D66" s="8" t="inlineStr">
        <is>
          <t>OLED83M4PUA.AUSYLHX</t>
        </is>
      </c>
      <c r="E66" s="8">
        <f>IF(F66=0,"Còn trống",IF(F66=1,"Đã đăng ký","Trùng đăng ký"))</f>
        <v/>
      </c>
      <c r="F66" s="8">
        <f>COUNTIF(Registrations!$H$2:$H$5000,$C66)</f>
        <v/>
      </c>
      <c r="G66" s="8">
        <f>IFERROR(INDEX(Registrations!$D$2:$D$5000,MATCH($C66,Registrations!$H$2:$H$5000,0)),"")</f>
        <v/>
      </c>
      <c r="H66" s="8">
        <f>IFERROR(INDEX(Registrations!$E$2:$E$5000,MATCH($C66,Registrations!$H$2:$H$5000,0)),"")</f>
        <v/>
      </c>
      <c r="I66" s="8">
        <f>IF(F66=0,"",IF(IFERROR(INDEX(Registrations!$F$2:$F$5000,MATCH($C66,Registrations!$H$2:$H$5000,0)),"")=$A66,"Khớp","Sai kho"))</f>
        <v/>
      </c>
    </row>
    <row r="67">
      <c r="A67" s="5" t="inlineStr">
        <is>
          <t>AYC</t>
        </is>
      </c>
      <c r="B67" s="5" t="n">
        <v>66</v>
      </c>
      <c r="C67" s="5" t="inlineStr">
        <is>
          <t>#066</t>
        </is>
      </c>
      <c r="D67" s="5" t="inlineStr">
        <is>
          <t>OLED97M5PSA.AAU</t>
        </is>
      </c>
      <c r="E67" s="5">
        <f>IF(F67=0,"Còn trống",IF(F67=1,"Đã đăng ký","Trùng đăng ký"))</f>
        <v/>
      </c>
      <c r="F67" s="5">
        <f>COUNTIF(Registrations!$H$2:$H$5000,$C67)</f>
        <v/>
      </c>
      <c r="G67" s="5">
        <f>IFERROR(INDEX(Registrations!$D$2:$D$5000,MATCH($C67,Registrations!$H$2:$H$5000,0)),"")</f>
        <v/>
      </c>
      <c r="H67" s="5">
        <f>IFERROR(INDEX(Registrations!$E$2:$E$5000,MATCH($C67,Registrations!$H$2:$H$5000,0)),"")</f>
        <v/>
      </c>
      <c r="I67" s="5">
        <f>IF(F67=0,"",IF(IFERROR(INDEX(Registrations!$F$2:$F$5000,MATCH($C67,Registrations!$H$2:$H$5000,0)),"")=$A67,"Khớp","Sai kho"))</f>
        <v/>
      </c>
    </row>
    <row r="68">
      <c r="A68" s="8" t="inlineStr">
        <is>
          <t>AYC</t>
        </is>
      </c>
      <c r="B68" s="8" t="n">
        <v>67</v>
      </c>
      <c r="C68" s="8" t="inlineStr">
        <is>
          <t>#067</t>
        </is>
      </c>
      <c r="D68" s="8" t="inlineStr">
        <is>
          <t>OLED77C6PJA.AJLQLHX</t>
        </is>
      </c>
      <c r="E68" s="8">
        <f>IF(F68=0,"Còn trống",IF(F68=1,"Đã đăng ký","Trùng đăng ký"))</f>
        <v/>
      </c>
      <c r="F68" s="8">
        <f>COUNTIF(Registrations!$H$2:$H$5000,$C68)</f>
        <v/>
      </c>
      <c r="G68" s="8">
        <f>IFERROR(INDEX(Registrations!$D$2:$D$5000,MATCH($C68,Registrations!$H$2:$H$5000,0)),"")</f>
        <v/>
      </c>
      <c r="H68" s="8">
        <f>IFERROR(INDEX(Registrations!$E$2:$E$5000,MATCH($C68,Registrations!$H$2:$H$5000,0)),"")</f>
        <v/>
      </c>
      <c r="I68" s="8">
        <f>IF(F68=0,"",IF(IFERROR(INDEX(Registrations!$F$2:$F$5000,MATCH($C68,Registrations!$H$2:$H$5000,0)),"")=$A68,"Khớp","Sai kho"))</f>
        <v/>
      </c>
    </row>
    <row r="69">
      <c r="A69" s="5" t="inlineStr">
        <is>
          <t>AYC</t>
        </is>
      </c>
      <c r="B69" s="5" t="n">
        <v>68</v>
      </c>
      <c r="C69" s="5" t="inlineStr">
        <is>
          <t>#068</t>
        </is>
      </c>
      <c r="D69" s="5" t="inlineStr">
        <is>
          <t>OLED77B6PCA.ACNQLHX</t>
        </is>
      </c>
      <c r="E69" s="5">
        <f>IF(F69=0,"Còn trống",IF(F69=1,"Đã đăng ký","Trùng đăng ký"))</f>
        <v/>
      </c>
      <c r="F69" s="5">
        <f>COUNTIF(Registrations!$H$2:$H$5000,$C69)</f>
        <v/>
      </c>
      <c r="G69" s="5">
        <f>IFERROR(INDEX(Registrations!$D$2:$D$5000,MATCH($C69,Registrations!$H$2:$H$5000,0)),"")</f>
        <v/>
      </c>
      <c r="H69" s="5">
        <f>IFERROR(INDEX(Registrations!$E$2:$E$5000,MATCH($C69,Registrations!$H$2:$H$5000,0)),"")</f>
        <v/>
      </c>
      <c r="I69" s="5">
        <f>IF(F69=0,"",IF(IFERROR(INDEX(Registrations!$F$2:$F$5000,MATCH($C69,Registrations!$H$2:$H$5000,0)),"")=$A69,"Khớp","Sai kho"))</f>
        <v/>
      </c>
    </row>
    <row r="70">
      <c r="A70" s="8" t="inlineStr">
        <is>
          <t>AYC</t>
        </is>
      </c>
      <c r="B70" s="8" t="n">
        <v>69</v>
      </c>
      <c r="C70" s="8" t="inlineStr">
        <is>
          <t>#069</t>
        </is>
      </c>
      <c r="D70" s="8" t="inlineStr">
        <is>
          <t>75QNED70BSA.AGAFLHX</t>
        </is>
      </c>
      <c r="E70" s="8">
        <f>IF(F70=0,"Còn trống",IF(F70=1,"Đã đăng ký","Trùng đăng ký"))</f>
        <v/>
      </c>
      <c r="F70" s="8">
        <f>COUNTIF(Registrations!$H$2:$H$5000,$C70)</f>
        <v/>
      </c>
      <c r="G70" s="8">
        <f>IFERROR(INDEX(Registrations!$D$2:$D$5000,MATCH($C70,Registrations!$H$2:$H$5000,0)),"")</f>
        <v/>
      </c>
      <c r="H70" s="8">
        <f>IFERROR(INDEX(Registrations!$E$2:$E$5000,MATCH($C70,Registrations!$H$2:$H$5000,0)),"")</f>
        <v/>
      </c>
      <c r="I70" s="8">
        <f>IF(F70=0,"",IF(IFERROR(INDEX(Registrations!$F$2:$F$5000,MATCH($C70,Registrations!$H$2:$H$5000,0)),"")=$A70,"Khớp","Sai kho"))</f>
        <v/>
      </c>
    </row>
    <row r="71">
      <c r="A71" s="5" t="inlineStr">
        <is>
          <t>AYC</t>
        </is>
      </c>
      <c r="B71" s="5" t="n">
        <v>70</v>
      </c>
      <c r="C71" s="5" t="inlineStr">
        <is>
          <t>#070</t>
        </is>
      </c>
      <c r="D71" s="5" t="inlineStr">
        <is>
          <t>75QNED81B6A.AEUNLHX</t>
        </is>
      </c>
      <c r="E71" s="5">
        <f>IF(F71=0,"Còn trống",IF(F71=1,"Đã đăng ký","Trùng đăng ký"))</f>
        <v/>
      </c>
      <c r="F71" s="5">
        <f>COUNTIF(Registrations!$H$2:$H$5000,$C71)</f>
        <v/>
      </c>
      <c r="G71" s="5">
        <f>IFERROR(INDEX(Registrations!$D$2:$D$5000,MATCH($C71,Registrations!$H$2:$H$5000,0)),"")</f>
        <v/>
      </c>
      <c r="H71" s="5">
        <f>IFERROR(INDEX(Registrations!$E$2:$E$5000,MATCH($C71,Registrations!$H$2:$H$5000,0)),"")</f>
        <v/>
      </c>
      <c r="I71" s="5">
        <f>IF(F71=0,"",IF(IFERROR(INDEX(Registrations!$F$2:$F$5000,MATCH($C71,Registrations!$H$2:$H$5000,0)),"")=$A71,"Khớp","Sai kho"))</f>
        <v/>
      </c>
    </row>
    <row r="72">
      <c r="A72" s="8" t="inlineStr">
        <is>
          <t>AYC</t>
        </is>
      </c>
      <c r="B72" s="8" t="n">
        <v>71</v>
      </c>
      <c r="C72" s="8" t="inlineStr">
        <is>
          <t>#071</t>
        </is>
      </c>
      <c r="D72" s="8" t="inlineStr">
        <is>
          <t>65NU850BPUA.AUSFLHX</t>
        </is>
      </c>
      <c r="E72" s="8">
        <f>IF(F72=0,"Còn trống",IF(F72=1,"Đã đăng ký","Trùng đăng ký"))</f>
        <v/>
      </c>
      <c r="F72" s="8">
        <f>COUNTIF(Registrations!$H$2:$H$5000,$C72)</f>
        <v/>
      </c>
      <c r="G72" s="8">
        <f>IFERROR(INDEX(Registrations!$D$2:$D$5000,MATCH($C72,Registrations!$H$2:$H$5000,0)),"")</f>
        <v/>
      </c>
      <c r="H72" s="8">
        <f>IFERROR(INDEX(Registrations!$E$2:$E$5000,MATCH($C72,Registrations!$H$2:$H$5000,0)),"")</f>
        <v/>
      </c>
      <c r="I72" s="8">
        <f>IF(F72=0,"",IF(IFERROR(INDEX(Registrations!$F$2:$F$5000,MATCH($C72,Registrations!$H$2:$H$5000,0)),"")=$A72,"Khớp","Sai kho"))</f>
        <v/>
      </c>
    </row>
    <row r="73">
      <c r="A73" s="5" t="inlineStr">
        <is>
          <t>AYC</t>
        </is>
      </c>
      <c r="B73" s="5" t="n">
        <v>72</v>
      </c>
      <c r="C73" s="5" t="inlineStr">
        <is>
          <t>#072</t>
        </is>
      </c>
      <c r="D73" s="5" t="inlineStr">
        <is>
          <t>75MRGB86BSA.AGADLHX</t>
        </is>
      </c>
      <c r="E73" s="5">
        <f>IF(F73=0,"Còn trống",IF(F73=1,"Đã đăng ký","Trùng đăng ký"))</f>
        <v/>
      </c>
      <c r="F73" s="5">
        <f>COUNTIF(Registrations!$H$2:$H$5000,$C73)</f>
        <v/>
      </c>
      <c r="G73" s="5">
        <f>IFERROR(INDEX(Registrations!$D$2:$D$5000,MATCH($C73,Registrations!$H$2:$H$5000,0)),"")</f>
        <v/>
      </c>
      <c r="H73" s="5">
        <f>IFERROR(INDEX(Registrations!$E$2:$E$5000,MATCH($C73,Registrations!$H$2:$H$5000,0)),"")</f>
        <v/>
      </c>
      <c r="I73" s="5">
        <f>IF(F73=0,"",IF(IFERROR(INDEX(Registrations!$F$2:$F$5000,MATCH($C73,Registrations!$H$2:$H$5000,0)),"")=$A73,"Khớp","Sai kho"))</f>
        <v/>
      </c>
    </row>
    <row r="74">
      <c r="A74" s="8" t="inlineStr">
        <is>
          <t>AYA</t>
        </is>
      </c>
      <c r="B74" s="8" t="n">
        <v>73</v>
      </c>
      <c r="C74" s="8" t="inlineStr">
        <is>
          <t>#073</t>
        </is>
      </c>
      <c r="D74" s="8" t="inlineStr">
        <is>
          <t>100QNED89AS.AGAFLHX</t>
        </is>
      </c>
      <c r="E74" s="8">
        <f>IF(F74=0,"Còn trống",IF(F74=1,"Đã đăng ký","Trùng đăng ký"))</f>
        <v/>
      </c>
      <c r="F74" s="8">
        <f>COUNTIF(Registrations!$H$2:$H$5000,$C74)</f>
        <v/>
      </c>
      <c r="G74" s="8">
        <f>IFERROR(INDEX(Registrations!$D$2:$D$5000,MATCH($C74,Registrations!$H$2:$H$5000,0)),"")</f>
        <v/>
      </c>
      <c r="H74" s="8">
        <f>IFERROR(INDEX(Registrations!$E$2:$E$5000,MATCH($C74,Registrations!$H$2:$H$5000,0)),"")</f>
        <v/>
      </c>
      <c r="I74" s="8">
        <f>IF(F74=0,"",IF(IFERROR(INDEX(Registrations!$F$2:$F$5000,MATCH($C74,Registrations!$H$2:$H$5000,0)),"")=$A74,"Khớp","Sai kho"))</f>
        <v/>
      </c>
    </row>
    <row r="75">
      <c r="A75" s="5" t="inlineStr">
        <is>
          <t>AYA</t>
        </is>
      </c>
      <c r="B75" s="5" t="n">
        <v>74</v>
      </c>
      <c r="C75" s="5" t="inlineStr">
        <is>
          <t>#074</t>
        </is>
      </c>
      <c r="D75" s="5" t="inlineStr">
        <is>
          <t>27LX6TDGA.ATV</t>
        </is>
      </c>
      <c r="E75" s="5">
        <f>IF(F75=0,"Còn trống",IF(F75=1,"Đã đăng ký","Trùng đăng ký"))</f>
        <v/>
      </c>
      <c r="F75" s="5">
        <f>COUNTIF(Registrations!$H$2:$H$5000,$C75)</f>
        <v/>
      </c>
      <c r="G75" s="5">
        <f>IFERROR(INDEX(Registrations!$D$2:$D$5000,MATCH($C75,Registrations!$H$2:$H$5000,0)),"")</f>
        <v/>
      </c>
      <c r="H75" s="5">
        <f>IFERROR(INDEX(Registrations!$E$2:$E$5000,MATCH($C75,Registrations!$H$2:$H$5000,0)),"")</f>
        <v/>
      </c>
      <c r="I75" s="5">
        <f>IF(F75=0,"",IF(IFERROR(INDEX(Registrations!$F$2:$F$5000,MATCH($C75,Registrations!$H$2:$H$5000,0)),"")=$A75,"Khớp","Sai kho"))</f>
        <v/>
      </c>
    </row>
    <row r="76">
      <c r="A76" s="8" t="inlineStr">
        <is>
          <t>AYA</t>
        </is>
      </c>
      <c r="B76" s="8" t="n">
        <v>75</v>
      </c>
      <c r="C76" s="8" t="inlineStr">
        <is>
          <t>#075</t>
        </is>
      </c>
      <c r="D76" s="8" t="inlineStr">
        <is>
          <t>27LX6TDGA.ATV</t>
        </is>
      </c>
      <c r="E76" s="8">
        <f>IF(F76=0,"Còn trống",IF(F76=1,"Đã đăng ký","Trùng đăng ký"))</f>
        <v/>
      </c>
      <c r="F76" s="8">
        <f>COUNTIF(Registrations!$H$2:$H$5000,$C76)</f>
        <v/>
      </c>
      <c r="G76" s="8">
        <f>IFERROR(INDEX(Registrations!$D$2:$D$5000,MATCH($C76,Registrations!$H$2:$H$5000,0)),"")</f>
        <v/>
      </c>
      <c r="H76" s="8">
        <f>IFERROR(INDEX(Registrations!$E$2:$E$5000,MATCH($C76,Registrations!$H$2:$H$5000,0)),"")</f>
        <v/>
      </c>
      <c r="I76" s="8">
        <f>IF(F76=0,"",IF(IFERROR(INDEX(Registrations!$F$2:$F$5000,MATCH($C76,Registrations!$H$2:$H$5000,0)),"")=$A76,"Khớp","Sai kho"))</f>
        <v/>
      </c>
    </row>
    <row r="77">
      <c r="A77" s="5" t="inlineStr">
        <is>
          <t>AYA</t>
        </is>
      </c>
      <c r="B77" s="5" t="n">
        <v>76</v>
      </c>
      <c r="C77" s="5" t="inlineStr">
        <is>
          <t>#076</t>
        </is>
      </c>
      <c r="D77" s="5" t="inlineStr">
        <is>
          <t>27LX6TDGA.ATV</t>
        </is>
      </c>
      <c r="E77" s="5">
        <f>IF(F77=0,"Còn trống",IF(F77=1,"Đã đăng ký","Trùng đăng ký"))</f>
        <v/>
      </c>
      <c r="F77" s="5">
        <f>COUNTIF(Registrations!$H$2:$H$5000,$C77)</f>
        <v/>
      </c>
      <c r="G77" s="5">
        <f>IFERROR(INDEX(Registrations!$D$2:$D$5000,MATCH($C77,Registrations!$H$2:$H$5000,0)),"")</f>
        <v/>
      </c>
      <c r="H77" s="5">
        <f>IFERROR(INDEX(Registrations!$E$2:$E$5000,MATCH($C77,Registrations!$H$2:$H$5000,0)),"")</f>
        <v/>
      </c>
      <c r="I77" s="5">
        <f>IF(F77=0,"",IF(IFERROR(INDEX(Registrations!$F$2:$F$5000,MATCH($C77,Registrations!$H$2:$H$5000,0)),"")=$A77,"Khớp","Sai kho"))</f>
        <v/>
      </c>
    </row>
    <row r="78">
      <c r="A78" s="8" t="inlineStr">
        <is>
          <t>AYA</t>
        </is>
      </c>
      <c r="B78" s="8" t="n">
        <v>77</v>
      </c>
      <c r="C78" s="8" t="inlineStr">
        <is>
          <t>#077</t>
        </is>
      </c>
      <c r="D78" s="8" t="inlineStr">
        <is>
          <t>43LB6500PSB.AWZSLHX</t>
        </is>
      </c>
      <c r="E78" s="8">
        <f>IF(F78=0,"Còn trống",IF(F78=1,"Đã đăng ký","Trùng đăng ký"))</f>
        <v/>
      </c>
      <c r="F78" s="8">
        <f>COUNTIF(Registrations!$H$2:$H$5000,$C78)</f>
        <v/>
      </c>
      <c r="G78" s="8">
        <f>IFERROR(INDEX(Registrations!$D$2:$D$5000,MATCH($C78,Registrations!$H$2:$H$5000,0)),"")</f>
        <v/>
      </c>
      <c r="H78" s="8">
        <f>IFERROR(INDEX(Registrations!$E$2:$E$5000,MATCH($C78,Registrations!$H$2:$H$5000,0)),"")</f>
        <v/>
      </c>
      <c r="I78" s="8">
        <f>IF(F78=0,"",IF(IFERROR(INDEX(Registrations!$F$2:$F$5000,MATCH($C78,Registrations!$H$2:$H$5000,0)),"")=$A78,"Khớp","Sai kho"))</f>
        <v/>
      </c>
    </row>
    <row r="79">
      <c r="A79" s="5" t="inlineStr">
        <is>
          <t>AYA</t>
        </is>
      </c>
      <c r="B79" s="5" t="n">
        <v>78</v>
      </c>
      <c r="C79" s="5" t="inlineStr">
        <is>
          <t>#078</t>
        </is>
      </c>
      <c r="D79" s="5" t="inlineStr">
        <is>
          <t>65UA8055PSA.ATV</t>
        </is>
      </c>
      <c r="E79" s="5">
        <f>IF(F79=0,"Còn trống",IF(F79=1,"Đã đăng ký","Trùng đăng ký"))</f>
        <v/>
      </c>
      <c r="F79" s="5">
        <f>COUNTIF(Registrations!$H$2:$H$5000,$C79)</f>
        <v/>
      </c>
      <c r="G79" s="5">
        <f>IFERROR(INDEX(Registrations!$D$2:$D$5000,MATCH($C79,Registrations!$H$2:$H$5000,0)),"")</f>
        <v/>
      </c>
      <c r="H79" s="5">
        <f>IFERROR(INDEX(Registrations!$E$2:$E$5000,MATCH($C79,Registrations!$H$2:$H$5000,0)),"")</f>
        <v/>
      </c>
      <c r="I79" s="5">
        <f>IF(F79=0,"",IF(IFERROR(INDEX(Registrations!$F$2:$F$5000,MATCH($C79,Registrations!$H$2:$H$5000,0)),"")=$A79,"Khớp","Sai kho"))</f>
        <v/>
      </c>
    </row>
    <row r="80">
      <c r="A80" s="8" t="inlineStr">
        <is>
          <t>AYA</t>
        </is>
      </c>
      <c r="B80" s="8" t="n">
        <v>79</v>
      </c>
      <c r="C80" s="8" t="inlineStr">
        <is>
          <t>#079</t>
        </is>
      </c>
      <c r="D80" s="8" t="inlineStr">
        <is>
          <t>75QNED86ASA.ATV</t>
        </is>
      </c>
      <c r="E80" s="8">
        <f>IF(F80=0,"Còn trống",IF(F80=1,"Đã đăng ký","Trùng đăng ký"))</f>
        <v/>
      </c>
      <c r="F80" s="8">
        <f>COUNTIF(Registrations!$H$2:$H$5000,$C80)</f>
        <v/>
      </c>
      <c r="G80" s="8">
        <f>IFERROR(INDEX(Registrations!$D$2:$D$5000,MATCH($C80,Registrations!$H$2:$H$5000,0)),"")</f>
        <v/>
      </c>
      <c r="H80" s="8">
        <f>IFERROR(INDEX(Registrations!$E$2:$E$5000,MATCH($C80,Registrations!$H$2:$H$5000,0)),"")</f>
        <v/>
      </c>
      <c r="I80" s="8">
        <f>IF(F80=0,"",IF(IFERROR(INDEX(Registrations!$F$2:$F$5000,MATCH($C80,Registrations!$H$2:$H$5000,0)),"")=$A80,"Khớp","Sai kho"))</f>
        <v/>
      </c>
    </row>
    <row r="81">
      <c r="A81" s="5" t="inlineStr">
        <is>
          <t>AYA</t>
        </is>
      </c>
      <c r="B81" s="5" t="n">
        <v>80</v>
      </c>
      <c r="C81" s="5" t="inlineStr">
        <is>
          <t>#080</t>
        </is>
      </c>
      <c r="D81" s="5" t="inlineStr">
        <is>
          <t>75QNED9MASA.AGAFLHX</t>
        </is>
      </c>
      <c r="E81" s="5">
        <f>IF(F81=0,"Còn trống",IF(F81=1,"Đã đăng ký","Trùng đăng ký"))</f>
        <v/>
      </c>
      <c r="F81" s="5">
        <f>COUNTIF(Registrations!$H$2:$H$5000,$C81)</f>
        <v/>
      </c>
      <c r="G81" s="5">
        <f>IFERROR(INDEX(Registrations!$D$2:$D$5000,MATCH($C81,Registrations!$H$2:$H$5000,0)),"")</f>
        <v/>
      </c>
      <c r="H81" s="5">
        <f>IFERROR(INDEX(Registrations!$E$2:$E$5000,MATCH($C81,Registrations!$H$2:$H$5000,0)),"")</f>
        <v/>
      </c>
      <c r="I81" s="5">
        <f>IF(F81=0,"",IF(IFERROR(INDEX(Registrations!$F$2:$F$5000,MATCH($C81,Registrations!$H$2:$H$5000,0)),"")=$A81,"Khớp","Sai kho"))</f>
        <v/>
      </c>
    </row>
    <row r="82">
      <c r="A82" s="8" t="inlineStr">
        <is>
          <t>AYA</t>
        </is>
      </c>
      <c r="B82" s="8" t="n">
        <v>81</v>
      </c>
      <c r="C82" s="8" t="inlineStr">
        <is>
          <t>#081</t>
        </is>
      </c>
      <c r="D82" s="8" t="inlineStr">
        <is>
          <t>OLED48B5PSA.ATV</t>
        </is>
      </c>
      <c r="E82" s="8">
        <f>IF(F82=0,"Còn trống",IF(F82=1,"Đã đăng ký","Trùng đăng ký"))</f>
        <v/>
      </c>
      <c r="F82" s="8">
        <f>COUNTIF(Registrations!$H$2:$H$5000,$C82)</f>
        <v/>
      </c>
      <c r="G82" s="8">
        <f>IFERROR(INDEX(Registrations!$D$2:$D$5000,MATCH($C82,Registrations!$H$2:$H$5000,0)),"")</f>
        <v/>
      </c>
      <c r="H82" s="8">
        <f>IFERROR(INDEX(Registrations!$E$2:$E$5000,MATCH($C82,Registrations!$H$2:$H$5000,0)),"")</f>
        <v/>
      </c>
      <c r="I82" s="8">
        <f>IF(F82=0,"",IF(IFERROR(INDEX(Registrations!$F$2:$F$5000,MATCH($C82,Registrations!$H$2:$H$5000,0)),"")=$A82,"Khớp","Sai kho"))</f>
        <v/>
      </c>
    </row>
    <row r="83">
      <c r="A83" s="5" t="inlineStr">
        <is>
          <t>AYA</t>
        </is>
      </c>
      <c r="B83" s="5" t="n">
        <v>82</v>
      </c>
      <c r="C83" s="5" t="inlineStr">
        <is>
          <t>#082</t>
        </is>
      </c>
      <c r="D83" s="5" t="inlineStr">
        <is>
          <t>OLED65G5PSA.ATV</t>
        </is>
      </c>
      <c r="E83" s="5">
        <f>IF(F83=0,"Còn trống",IF(F83=1,"Đã đăng ký","Trùng đăng ký"))</f>
        <v/>
      </c>
      <c r="F83" s="5">
        <f>COUNTIF(Registrations!$H$2:$H$5000,$C83)</f>
        <v/>
      </c>
      <c r="G83" s="5">
        <f>IFERROR(INDEX(Registrations!$D$2:$D$5000,MATCH($C83,Registrations!$H$2:$H$5000,0)),"")</f>
        <v/>
      </c>
      <c r="H83" s="5">
        <f>IFERROR(INDEX(Registrations!$E$2:$E$5000,MATCH($C83,Registrations!$H$2:$H$5000,0)),"")</f>
        <v/>
      </c>
      <c r="I83" s="5">
        <f>IF(F83=0,"",IF(IFERROR(INDEX(Registrations!$F$2:$F$5000,MATCH($C83,Registrations!$H$2:$H$5000,0)),"")=$A83,"Khớp","Sai kho"))</f>
        <v/>
      </c>
    </row>
    <row r="84">
      <c r="A84" s="8" t="inlineStr">
        <is>
          <t>AYA</t>
        </is>
      </c>
      <c r="B84" s="8" t="n">
        <v>83</v>
      </c>
      <c r="C84" s="8" t="inlineStr">
        <is>
          <t>#083</t>
        </is>
      </c>
      <c r="D84" s="8" t="inlineStr">
        <is>
          <t>OLED77C44LA.AEUQLHX</t>
        </is>
      </c>
      <c r="E84" s="8">
        <f>IF(F84=0,"Còn trống",IF(F84=1,"Đã đăng ký","Trùng đăng ký"))</f>
        <v/>
      </c>
      <c r="F84" s="8">
        <f>COUNTIF(Registrations!$H$2:$H$5000,$C84)</f>
        <v/>
      </c>
      <c r="G84" s="8">
        <f>IFERROR(INDEX(Registrations!$D$2:$D$5000,MATCH($C84,Registrations!$H$2:$H$5000,0)),"")</f>
        <v/>
      </c>
      <c r="H84" s="8">
        <f>IFERROR(INDEX(Registrations!$E$2:$E$5000,MATCH($C84,Registrations!$H$2:$H$5000,0)),"")</f>
        <v/>
      </c>
      <c r="I84" s="8">
        <f>IF(F84=0,"",IF(IFERROR(INDEX(Registrations!$F$2:$F$5000,MATCH($C84,Registrations!$H$2:$H$5000,0)),"")=$A84,"Khớp","Sai kho"))</f>
        <v/>
      </c>
    </row>
    <row r="85">
      <c r="A85" s="5" t="inlineStr">
        <is>
          <t>AYA</t>
        </is>
      </c>
      <c r="B85" s="5" t="n">
        <v>84</v>
      </c>
      <c r="C85" s="5" t="inlineStr">
        <is>
          <t>#084</t>
        </is>
      </c>
      <c r="D85" s="5" t="inlineStr">
        <is>
          <t>OLED77C54LA.AEUQLHX</t>
        </is>
      </c>
      <c r="E85" s="5">
        <f>IF(F85=0,"Còn trống",IF(F85=1,"Đã đăng ký","Trùng đăng ký"))</f>
        <v/>
      </c>
      <c r="F85" s="5">
        <f>COUNTIF(Registrations!$H$2:$H$5000,$C85)</f>
        <v/>
      </c>
      <c r="G85" s="5">
        <f>IFERROR(INDEX(Registrations!$D$2:$D$5000,MATCH($C85,Registrations!$H$2:$H$5000,0)),"")</f>
        <v/>
      </c>
      <c r="H85" s="5">
        <f>IFERROR(INDEX(Registrations!$E$2:$E$5000,MATCH($C85,Registrations!$H$2:$H$5000,0)),"")</f>
        <v/>
      </c>
      <c r="I85" s="5">
        <f>IF(F85=0,"",IF(IFERROR(INDEX(Registrations!$F$2:$F$5000,MATCH($C85,Registrations!$H$2:$H$5000,0)),"")=$A85,"Khớp","Sai kho"))</f>
        <v/>
      </c>
    </row>
    <row r="86">
      <c r="A86" s="8" t="inlineStr">
        <is>
          <t>AYA</t>
        </is>
      </c>
      <c r="B86" s="8" t="n">
        <v>85</v>
      </c>
      <c r="C86" s="8" t="inlineStr">
        <is>
          <t>#085</t>
        </is>
      </c>
      <c r="D86" s="8" t="inlineStr">
        <is>
          <t>OLED83B5PSA.AGAQLHX</t>
        </is>
      </c>
      <c r="E86" s="8">
        <f>IF(F86=0,"Còn trống",IF(F86=1,"Đã đăng ký","Trùng đăng ký"))</f>
        <v/>
      </c>
      <c r="F86" s="8">
        <f>COUNTIF(Registrations!$H$2:$H$5000,$C86)</f>
        <v/>
      </c>
      <c r="G86" s="8">
        <f>IFERROR(INDEX(Registrations!$D$2:$D$5000,MATCH($C86,Registrations!$H$2:$H$5000,0)),"")</f>
        <v/>
      </c>
      <c r="H86" s="8">
        <f>IFERROR(INDEX(Registrations!$E$2:$E$5000,MATCH($C86,Registrations!$H$2:$H$5000,0)),"")</f>
        <v/>
      </c>
      <c r="I86" s="8">
        <f>IF(F86=0,"",IF(IFERROR(INDEX(Registrations!$F$2:$F$5000,MATCH($C86,Registrations!$H$2:$H$5000,0)),"")=$A86,"Khớp","Sai kho"))</f>
        <v/>
      </c>
    </row>
    <row r="87">
      <c r="A87" s="5" t="inlineStr">
        <is>
          <t>AYA</t>
        </is>
      </c>
      <c r="B87" s="5" t="n">
        <v>86</v>
      </c>
      <c r="C87" s="5" t="inlineStr">
        <is>
          <t>#086</t>
        </is>
      </c>
      <c r="D87" s="5" t="inlineStr">
        <is>
          <t>OLED83C5PSA.AWZQLHX</t>
        </is>
      </c>
      <c r="E87" s="5">
        <f>IF(F87=0,"Còn trống",IF(F87=1,"Đã đăng ký","Trùng đăng ký"))</f>
        <v/>
      </c>
      <c r="F87" s="5">
        <f>COUNTIF(Registrations!$H$2:$H$5000,$C87)</f>
        <v/>
      </c>
      <c r="G87" s="5">
        <f>IFERROR(INDEX(Registrations!$D$2:$D$5000,MATCH($C87,Registrations!$H$2:$H$5000,0)),"")</f>
        <v/>
      </c>
      <c r="H87" s="5">
        <f>IFERROR(INDEX(Registrations!$E$2:$E$5000,MATCH($C87,Registrations!$H$2:$H$5000,0)),"")</f>
        <v/>
      </c>
      <c r="I87" s="5">
        <f>IF(F87=0,"",IF(IFERROR(INDEX(Registrations!$F$2:$F$5000,MATCH($C87,Registrations!$H$2:$H$5000,0)),"")=$A87,"Khớp","Sai kho"))</f>
        <v/>
      </c>
    </row>
    <row r="88">
      <c r="A88" s="8" t="inlineStr">
        <is>
          <t>AYA</t>
        </is>
      </c>
      <c r="B88" s="8" t="n">
        <v>87</v>
      </c>
      <c r="C88" s="8" t="inlineStr">
        <is>
          <t>#087</t>
        </is>
      </c>
      <c r="D88" s="8" t="inlineStr">
        <is>
          <t>OLED77C6PJA.AJLQLHX</t>
        </is>
      </c>
      <c r="E88" s="8">
        <f>IF(F88=0,"Còn trống",IF(F88=1,"Đã đăng ký","Trùng đăng ký"))</f>
        <v/>
      </c>
      <c r="F88" s="8">
        <f>COUNTIF(Registrations!$H$2:$H$5000,$C88)</f>
        <v/>
      </c>
      <c r="G88" s="8">
        <f>IFERROR(INDEX(Registrations!$D$2:$D$5000,MATCH($C88,Registrations!$H$2:$H$5000,0)),"")</f>
        <v/>
      </c>
      <c r="H88" s="8">
        <f>IFERROR(INDEX(Registrations!$E$2:$E$5000,MATCH($C88,Registrations!$H$2:$H$5000,0)),"")</f>
        <v/>
      </c>
      <c r="I88" s="8">
        <f>IF(F88=0,"",IF(IFERROR(INDEX(Registrations!$F$2:$F$5000,MATCH($C88,Registrations!$H$2:$H$5000,0)),"")=$A88,"Khớp","Sai kho"))</f>
        <v/>
      </c>
    </row>
    <row r="89">
      <c r="A89" s="5" t="inlineStr">
        <is>
          <t>AYA</t>
        </is>
      </c>
      <c r="B89" s="5" t="n">
        <v>88</v>
      </c>
      <c r="C89" s="5" t="inlineStr">
        <is>
          <t>#088</t>
        </is>
      </c>
      <c r="D89" s="5" t="inlineStr">
        <is>
          <t>75QNED70BSA.AGAFLHX</t>
        </is>
      </c>
      <c r="E89" s="5">
        <f>IF(F89=0,"Còn trống",IF(F89=1,"Đã đăng ký","Trùng đăng ký"))</f>
        <v/>
      </c>
      <c r="F89" s="5">
        <f>COUNTIF(Registrations!$H$2:$H$5000,$C89)</f>
        <v/>
      </c>
      <c r="G89" s="5">
        <f>IFERROR(INDEX(Registrations!$D$2:$D$5000,MATCH($C89,Registrations!$H$2:$H$5000,0)),"")</f>
        <v/>
      </c>
      <c r="H89" s="5">
        <f>IFERROR(INDEX(Registrations!$E$2:$E$5000,MATCH($C89,Registrations!$H$2:$H$5000,0)),"")</f>
        <v/>
      </c>
      <c r="I89" s="5">
        <f>IF(F89=0,"",IF(IFERROR(INDEX(Registrations!$F$2:$F$5000,MATCH($C89,Registrations!$H$2:$H$5000,0)),"")=$A89,"Khớp","Sai kho"))</f>
        <v/>
      </c>
    </row>
    <row r="90">
      <c r="A90" s="8" t="inlineStr">
        <is>
          <t>AYA</t>
        </is>
      </c>
      <c r="B90" s="8" t="n">
        <v>89</v>
      </c>
      <c r="C90" s="8" t="inlineStr">
        <is>
          <t>#089</t>
        </is>
      </c>
      <c r="D90" s="8" t="inlineStr">
        <is>
          <t>65NU850BPUA.AUSFLHX</t>
        </is>
      </c>
      <c r="E90" s="8">
        <f>IF(F90=0,"Còn trống",IF(F90=1,"Đã đăng ký","Trùng đăng ký"))</f>
        <v/>
      </c>
      <c r="F90" s="8">
        <f>COUNTIF(Registrations!$H$2:$H$5000,$C90)</f>
        <v/>
      </c>
      <c r="G90" s="8">
        <f>IFERROR(INDEX(Registrations!$D$2:$D$5000,MATCH($C90,Registrations!$H$2:$H$5000,0)),"")</f>
        <v/>
      </c>
      <c r="H90" s="8">
        <f>IFERROR(INDEX(Registrations!$E$2:$E$5000,MATCH($C90,Registrations!$H$2:$H$5000,0)),"")</f>
        <v/>
      </c>
      <c r="I90" s="8">
        <f>IF(F90=0,"",IF(IFERROR(INDEX(Registrations!$F$2:$F$5000,MATCH($C90,Registrations!$H$2:$H$5000,0)),"")=$A90,"Khớp","Sai kho"))</f>
        <v/>
      </c>
    </row>
    <row r="91">
      <c r="A91" s="5" t="inlineStr">
        <is>
          <t>AYA</t>
        </is>
      </c>
      <c r="B91" s="5" t="n">
        <v>90</v>
      </c>
      <c r="C91" s="5" t="inlineStr">
        <is>
          <t>#090</t>
        </is>
      </c>
      <c r="D91" s="5" t="inlineStr">
        <is>
          <t>75MRGB86BSA.AGADLHX</t>
        </is>
      </c>
      <c r="E91" s="5">
        <f>IF(F91=0,"Còn trống",IF(F91=1,"Đã đăng ký","Trùng đăng ký"))</f>
        <v/>
      </c>
      <c r="F91" s="5">
        <f>COUNTIF(Registrations!$H$2:$H$5000,$C91)</f>
        <v/>
      </c>
      <c r="G91" s="5">
        <f>IFERROR(INDEX(Registrations!$D$2:$D$5000,MATCH($C91,Registrations!$H$2:$H$5000,0)),"")</f>
        <v/>
      </c>
      <c r="H91" s="5">
        <f>IFERROR(INDEX(Registrations!$E$2:$E$5000,MATCH($C91,Registrations!$H$2:$H$5000,0)),"")</f>
        <v/>
      </c>
      <c r="I91" s="5">
        <f>IF(F91=0,"",IF(IFERROR(INDEX(Registrations!$F$2:$F$5000,MATCH($C91,Registrations!$H$2:$H$5000,0)),"")=$A91,"Khớp","Sai kho"))</f>
        <v/>
      </c>
    </row>
  </sheetData>
  <autoFilter ref="A1:I1"/>
  <conditionalFormatting sqref="E2:E91">
    <cfRule type="expression" priority="1" dxfId="1">
      <formula>$E2="Trùng đăng ký"</formula>
    </cfRule>
    <cfRule type="expression" priority="2" dxfId="3">
      <formula>$E2="Đã đăng ký"</formula>
    </cfRule>
  </conditionalFormatting>
  <conditionalFormatting sqref="I2:I91">
    <cfRule type="expression" priority="3" dxfId="1">
      <formula>$I2="Sai kho"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</cols>
  <sheetData>
    <row r="1" ht="30" customHeight="1">
      <c r="A1" s="7" t="inlineStr">
        <is>
          <t>Bộ Phận</t>
        </is>
      </c>
      <c r="B1" s="7" t="inlineStr">
        <is>
          <t>Nhóm</t>
        </is>
      </c>
    </row>
    <row r="2">
      <c r="A2" s="5" t="inlineStr">
        <is>
          <t>CUSTOMER CARE &amp; SERVICE DIRECTOR</t>
        </is>
      </c>
      <c r="B2" s="5" t="inlineStr">
        <is>
          <t>Quản lý &amp; khác</t>
        </is>
      </c>
    </row>
    <row r="3">
      <c r="A3" s="5" t="inlineStr">
        <is>
          <t>D2C DEPARTMENT HEAD</t>
        </is>
      </c>
      <c r="B3" s="5" t="inlineStr">
        <is>
          <t>Quản lý &amp; khác</t>
        </is>
      </c>
    </row>
    <row r="4">
      <c r="A4" s="5" t="inlineStr">
        <is>
          <t>ES CAC PM</t>
        </is>
      </c>
      <c r="B4" s="5" t="inlineStr">
        <is>
          <t>Quản lý &amp; khác</t>
        </is>
      </c>
    </row>
    <row r="5">
      <c r="A5" s="5" t="inlineStr">
        <is>
          <t>GTM DEPARTMENT</t>
        </is>
      </c>
      <c r="B5" s="5" t="inlineStr">
        <is>
          <t>Quản lý &amp; khác</t>
        </is>
      </c>
    </row>
    <row r="6">
      <c r="A6" s="5" t="inlineStr">
        <is>
          <t>HCM BRANCH</t>
        </is>
      </c>
      <c r="B6" s="5" t="inlineStr">
        <is>
          <t>HCM</t>
        </is>
      </c>
    </row>
    <row r="7">
      <c r="A7" s="5" t="inlineStr">
        <is>
          <t>HCM BUSINESS PLANNING</t>
        </is>
      </c>
      <c r="B7" s="5" t="inlineStr">
        <is>
          <t>HCM</t>
        </is>
      </c>
    </row>
    <row r="8">
      <c r="A8" s="5" t="inlineStr">
        <is>
          <t>HCM DEMAND PLANNING</t>
        </is>
      </c>
      <c r="B8" s="5" t="inlineStr">
        <is>
          <t>HCM</t>
        </is>
      </c>
    </row>
    <row r="9">
      <c r="A9" s="5" t="inlineStr">
        <is>
          <t>HCM DX Marketing</t>
        </is>
      </c>
      <c r="B9" s="5" t="inlineStr">
        <is>
          <t>HCM</t>
        </is>
      </c>
    </row>
    <row r="10">
      <c r="A10" s="5" t="inlineStr">
        <is>
          <t>HCM MARKETING SUPPORT (B2B)</t>
        </is>
      </c>
      <c r="B10" s="5" t="inlineStr">
        <is>
          <t>HCM</t>
        </is>
      </c>
    </row>
    <row r="11">
      <c r="A11" s="5" t="inlineStr">
        <is>
          <t>HCM MOBILE FIELD TEST</t>
        </is>
      </c>
      <c r="B11" s="5" t="inlineStr">
        <is>
          <t>HCM</t>
        </is>
      </c>
    </row>
    <row r="12">
      <c r="A12" s="5" t="inlineStr">
        <is>
          <t>HCM NEW BIZ DEVELOPMENT</t>
        </is>
      </c>
      <c r="B12" s="5" t="inlineStr">
        <is>
          <t>HCM</t>
        </is>
      </c>
    </row>
    <row r="13">
      <c r="A13" s="5" t="inlineStr">
        <is>
          <t>HCM PM (IT)</t>
        </is>
      </c>
      <c r="B13" s="5" t="inlineStr">
        <is>
          <t>HCM</t>
        </is>
      </c>
    </row>
    <row r="14">
      <c r="A14" s="5" t="inlineStr">
        <is>
          <t>HCM PRODUCT MKT (GSM)</t>
        </is>
      </c>
      <c r="B14" s="5" t="inlineStr">
        <is>
          <t>HCM</t>
        </is>
      </c>
    </row>
    <row r="15">
      <c r="A15" s="5" t="inlineStr">
        <is>
          <t>HCM PRODUCT MKT (HE)</t>
        </is>
      </c>
      <c r="B15" s="5" t="inlineStr">
        <is>
          <t>HCM</t>
        </is>
      </c>
    </row>
    <row r="16">
      <c r="A16" s="5" t="inlineStr">
        <is>
          <t>HCM SALES (BRAND-SHOP)</t>
        </is>
      </c>
      <c r="B16" s="5" t="inlineStr">
        <is>
          <t>HCM</t>
        </is>
      </c>
    </row>
    <row r="17">
      <c r="A17" s="5" t="inlineStr">
        <is>
          <t>HCM SALES (MOBILE)</t>
        </is>
      </c>
      <c r="B17" s="5" t="inlineStr">
        <is>
          <t>HCM</t>
        </is>
      </c>
    </row>
    <row r="18">
      <c r="A18" s="5" t="inlineStr">
        <is>
          <t>HCM SALES B2B (CAC) CHILLER</t>
        </is>
      </c>
      <c r="B18" s="5" t="inlineStr">
        <is>
          <t>HCM</t>
        </is>
      </c>
    </row>
    <row r="19">
      <c r="A19" s="5" t="inlineStr">
        <is>
          <t>HCM SALES B2B (ES CAC) Project New Customer</t>
        </is>
      </c>
      <c r="B19" s="5" t="inlineStr">
        <is>
          <t>HCM</t>
        </is>
      </c>
    </row>
    <row r="20">
      <c r="A20" s="5" t="inlineStr">
        <is>
          <t>HCM SALES B2B (ID) TASK Team</t>
        </is>
      </c>
      <c r="B20" s="5" t="inlineStr">
        <is>
          <t>HCM</t>
        </is>
      </c>
    </row>
    <row r="21">
      <c r="A21" s="5" t="inlineStr">
        <is>
          <t>HCM SALES B2B (IT)</t>
        </is>
      </c>
      <c r="B21" s="5" t="inlineStr">
        <is>
          <t>HCM</t>
        </is>
      </c>
    </row>
    <row r="22">
      <c r="A22" s="5" t="inlineStr">
        <is>
          <t>HCM SALES B2B Total Solution (Vertical)</t>
        </is>
      </c>
      <c r="B22" s="5" t="inlineStr">
        <is>
          <t>HCM</t>
        </is>
      </c>
    </row>
    <row r="23">
      <c r="A23" s="5" t="inlineStr">
        <is>
          <t>HCM SALES D2B2C OBS Task</t>
        </is>
      </c>
      <c r="B23" s="5" t="inlineStr">
        <is>
          <t>HCM</t>
        </is>
      </c>
    </row>
    <row r="24">
      <c r="A24" s="5" t="inlineStr">
        <is>
          <t>HCM SALES D2D PORTAL</t>
        </is>
      </c>
      <c r="B24" s="5" t="inlineStr">
        <is>
          <t>HCM</t>
        </is>
      </c>
    </row>
    <row r="25">
      <c r="A25" s="5" t="inlineStr">
        <is>
          <t>HCM SCM LOGISTICS</t>
        </is>
      </c>
      <c r="B25" s="5" t="inlineStr">
        <is>
          <t>HCM</t>
        </is>
      </c>
    </row>
    <row r="26">
      <c r="A26" s="5" t="inlineStr">
        <is>
          <t>HCM SVC DONG NAI</t>
        </is>
      </c>
      <c r="B26" s="5" t="inlineStr">
        <is>
          <t>HCM</t>
        </is>
      </c>
    </row>
    <row r="27">
      <c r="A27" s="5" t="inlineStr">
        <is>
          <t>HCM TRADE MKT (MOBILE)</t>
        </is>
      </c>
      <c r="B27" s="5" t="inlineStr">
        <is>
          <t>HCM</t>
        </is>
      </c>
    </row>
    <row r="28">
      <c r="A28" s="5" t="inlineStr">
        <is>
          <t>HN DX Marketing</t>
        </is>
      </c>
      <c r="B28" s="5" t="inlineStr">
        <is>
          <t>HN</t>
        </is>
      </c>
    </row>
    <row r="29">
      <c r="A29" s="5" t="inlineStr">
        <is>
          <t>HN SALES (BRAND-SHOP)</t>
        </is>
      </c>
      <c r="B29" s="5" t="inlineStr">
        <is>
          <t>HN</t>
        </is>
      </c>
    </row>
    <row r="30">
      <c r="A30" s="5" t="inlineStr">
        <is>
          <t>HN SALES (CE)_Traditional Channel</t>
        </is>
      </c>
      <c r="B30" s="5" t="inlineStr">
        <is>
          <t>HN</t>
        </is>
      </c>
    </row>
    <row r="31">
      <c r="A31" s="5" t="inlineStr">
        <is>
          <t>HN SALES (ES RAC) - Modern Trade</t>
        </is>
      </c>
      <c r="B31" s="5" t="inlineStr">
        <is>
          <t>HN</t>
        </is>
      </c>
    </row>
    <row r="32">
      <c r="A32" s="5" t="inlineStr">
        <is>
          <t>HN SALES (ES RAC)-Traditional Channel</t>
        </is>
      </c>
      <c r="B32" s="5" t="inlineStr">
        <is>
          <t>HN</t>
        </is>
      </c>
    </row>
    <row r="33">
      <c r="A33" s="5" t="inlineStr">
        <is>
          <t>HN SALES (HA)</t>
        </is>
      </c>
      <c r="B33" s="5" t="inlineStr">
        <is>
          <t>HN</t>
        </is>
      </c>
    </row>
    <row r="34">
      <c r="A34" s="5" t="inlineStr">
        <is>
          <t>HN SALES (HA) - Modern Trade</t>
        </is>
      </c>
      <c r="B34" s="5" t="inlineStr">
        <is>
          <t>HN</t>
        </is>
      </c>
    </row>
    <row r="35">
      <c r="A35" s="5" t="inlineStr">
        <is>
          <t>HN SALES (HA) VCC TASK</t>
        </is>
      </c>
      <c r="B35" s="5" t="inlineStr">
        <is>
          <t>HN</t>
        </is>
      </c>
    </row>
    <row r="36">
      <c r="A36" s="5" t="inlineStr">
        <is>
          <t>HN SALES (HA)-Traditional Channel</t>
        </is>
      </c>
      <c r="B36" s="5" t="inlineStr">
        <is>
          <t>HN</t>
        </is>
      </c>
    </row>
    <row r="37">
      <c r="A37" s="5" t="inlineStr">
        <is>
          <t>HN SALES (HE)</t>
        </is>
      </c>
      <c r="B37" s="5" t="inlineStr">
        <is>
          <t>HN</t>
        </is>
      </c>
    </row>
    <row r="38">
      <c r="A38" s="5" t="inlineStr">
        <is>
          <t>HN SALES (HE) - Modern Trade</t>
        </is>
      </c>
      <c r="B38" s="5" t="inlineStr">
        <is>
          <t>HN</t>
        </is>
      </c>
    </row>
    <row r="39">
      <c r="A39" s="5" t="inlineStr">
        <is>
          <t>HN SALES (HE)-Traditional Channel</t>
        </is>
      </c>
      <c r="B39" s="5" t="inlineStr">
        <is>
          <t>HN</t>
        </is>
      </c>
    </row>
    <row r="40">
      <c r="A40" s="5" t="inlineStr">
        <is>
          <t>HN SALES B2B (CAC) CHILLER</t>
        </is>
      </c>
      <c r="B40" s="5" t="inlineStr">
        <is>
          <t>HN</t>
        </is>
      </c>
    </row>
    <row r="41">
      <c r="A41" s="5" t="inlineStr">
        <is>
          <t>HN SALES B2B (ES CAC) Project New Customer</t>
        </is>
      </c>
      <c r="B41" s="5" t="inlineStr">
        <is>
          <t>HN</t>
        </is>
      </c>
    </row>
    <row r="42">
      <c r="A42" s="5" t="inlineStr">
        <is>
          <t>HN SALES B2B (IT)</t>
        </is>
      </c>
      <c r="B42" s="5" t="inlineStr">
        <is>
          <t>HN</t>
        </is>
      </c>
    </row>
    <row r="43">
      <c r="A43" s="5" t="inlineStr">
        <is>
          <t>HN SALES CE (HEAD)</t>
        </is>
      </c>
      <c r="B43" s="5" t="inlineStr">
        <is>
          <t>HN</t>
        </is>
      </c>
    </row>
    <row r="44">
      <c r="A44" s="5" t="inlineStr">
        <is>
          <t>HN SALES D2B/D2B2C OBS</t>
        </is>
      </c>
      <c r="B44" s="5" t="inlineStr">
        <is>
          <t>HN</t>
        </is>
      </c>
    </row>
    <row r="45">
      <c r="A45" s="5" t="inlineStr">
        <is>
          <t>HN SALES ONLINE BUSINESS</t>
        </is>
      </c>
      <c r="B45" s="5" t="inlineStr">
        <is>
          <t>HN</t>
        </is>
      </c>
    </row>
    <row r="46">
      <c r="A46" s="5" t="inlineStr">
        <is>
          <t>HN SCM HEAD</t>
        </is>
      </c>
      <c r="B46" s="5" t="inlineStr">
        <is>
          <t>HN</t>
        </is>
      </c>
    </row>
    <row r="47">
      <c r="A47" s="5" t="inlineStr">
        <is>
          <t>HN SCM LOGISTICS (IMPORT)</t>
        </is>
      </c>
      <c r="B47" s="5" t="inlineStr">
        <is>
          <t>HN</t>
        </is>
      </c>
    </row>
    <row r="48">
      <c r="A48" s="5" t="inlineStr">
        <is>
          <t>HN SCM ORDER DESK</t>
        </is>
      </c>
      <c r="B48" s="5" t="inlineStr">
        <is>
          <t>HN</t>
        </is>
      </c>
    </row>
    <row r="49">
      <c r="A49" s="5" t="inlineStr">
        <is>
          <t>HN SUB ORG OF LOGISTIC</t>
        </is>
      </c>
      <c r="B49" s="5" t="inlineStr">
        <is>
          <t>HN</t>
        </is>
      </c>
    </row>
    <row r="50">
      <c r="A50" s="5" t="inlineStr">
        <is>
          <t>HN SVC FIELD SUPPORT</t>
        </is>
      </c>
      <c r="B50" s="5" t="inlineStr">
        <is>
          <t>HN</t>
        </is>
      </c>
    </row>
    <row r="51">
      <c r="A51" s="5" t="inlineStr">
        <is>
          <t>HN SVC SUPPORTING (WH)</t>
        </is>
      </c>
      <c r="B51" s="5" t="inlineStr">
        <is>
          <t>HN</t>
        </is>
      </c>
    </row>
    <row r="52">
      <c r="A52" s="5" t="inlineStr">
        <is>
          <t>HN TRADE MKT (MOBILE)</t>
        </is>
      </c>
      <c r="B52" s="5" t="inlineStr">
        <is>
          <t>HN</t>
        </is>
      </c>
    </row>
    <row r="53">
      <c r="A53" s="5" t="inlineStr">
        <is>
          <t>HUMAN RESOURCES Team</t>
        </is>
      </c>
      <c r="B53" s="5" t="inlineStr">
        <is>
          <t>Quản lý &amp; khác</t>
        </is>
      </c>
    </row>
    <row r="54">
      <c r="A54" s="5" t="inlineStr">
        <is>
          <t>LGEVH Sales Subsidiary</t>
        </is>
      </c>
      <c r="B54" s="5" t="inlineStr">
        <is>
          <t>Quản lý &amp; khác</t>
        </is>
      </c>
    </row>
    <row r="55">
      <c r="A55" s="5" t="inlineStr">
        <is>
          <t>MIDDLE ACCOUNTING TEAM</t>
        </is>
      </c>
      <c r="B55" s="5" t="inlineStr">
        <is>
          <t>MIDDLE</t>
        </is>
      </c>
    </row>
    <row r="56">
      <c r="A56" s="5" t="inlineStr">
        <is>
          <t>MIDDLE BRANCH</t>
        </is>
      </c>
      <c r="B56" s="5" t="inlineStr">
        <is>
          <t>MIDDLE</t>
        </is>
      </c>
    </row>
    <row r="57">
      <c r="A57" s="5" t="inlineStr">
        <is>
          <t>MIDDLE CUSTOMER CARE &amp; SERVICE DA NANG</t>
        </is>
      </c>
      <c r="B57" s="5" t="inlineStr">
        <is>
          <t>MIDDLE</t>
        </is>
      </c>
    </row>
    <row r="58">
      <c r="A58" s="5" t="inlineStr">
        <is>
          <t>MIDDLE CUSTOMER CARE &amp; SERVICE NETWORK</t>
        </is>
      </c>
      <c r="B58" s="5" t="inlineStr">
        <is>
          <t>MIDDLE</t>
        </is>
      </c>
    </row>
    <row r="59">
      <c r="A59" s="5" t="inlineStr">
        <is>
          <t>MIDDLE CUSTOMER CARE &amp; SERVICE PART</t>
        </is>
      </c>
      <c r="B59" s="5" t="inlineStr">
        <is>
          <t>MIDDLE</t>
        </is>
      </c>
    </row>
    <row r="60">
      <c r="A60" s="5" t="inlineStr">
        <is>
          <t>MIDDLE GENERAL AFFAIR</t>
        </is>
      </c>
      <c r="B60" s="5" t="inlineStr">
        <is>
          <t>MIDDLE</t>
        </is>
      </c>
    </row>
    <row r="61">
      <c r="A61" s="5" t="inlineStr">
        <is>
          <t>MIDDLE MARKETING (MOBILE)</t>
        </is>
      </c>
      <c r="B61" s="5" t="inlineStr">
        <is>
          <t>MIDDLE</t>
        </is>
      </c>
    </row>
    <row r="62">
      <c r="A62" s="5" t="inlineStr">
        <is>
          <t>MIDDLE MOBILE FIELD TEST</t>
        </is>
      </c>
      <c r="B62" s="5" t="inlineStr">
        <is>
          <t>MIDDLE</t>
        </is>
      </c>
    </row>
    <row r="63">
      <c r="A63" s="5" t="inlineStr">
        <is>
          <t>MIDDLE RETAIL MKT</t>
        </is>
      </c>
      <c r="B63" s="5" t="inlineStr">
        <is>
          <t>MIDDLE</t>
        </is>
      </c>
    </row>
    <row r="64">
      <c r="A64" s="5" t="inlineStr">
        <is>
          <t>MIDDLE SALES (CE) HEAD</t>
        </is>
      </c>
      <c r="B64" s="5" t="inlineStr">
        <is>
          <t>MIDDLE</t>
        </is>
      </c>
    </row>
    <row r="65">
      <c r="A65" s="5" t="inlineStr">
        <is>
          <t>MIDDLE SALES (GSM)</t>
        </is>
      </c>
      <c r="B65" s="5" t="inlineStr">
        <is>
          <t>MIDDLE</t>
        </is>
      </c>
    </row>
    <row r="66">
      <c r="A66" s="5" t="inlineStr">
        <is>
          <t>MIDDLE SALES (RAC)</t>
        </is>
      </c>
      <c r="B66" s="5" t="inlineStr">
        <is>
          <t>MIDDLE</t>
        </is>
      </c>
    </row>
    <row r="67">
      <c r="A67" s="5" t="inlineStr">
        <is>
          <t>MIDDLE SALES B2B (ES PROJECT) NHATRANG</t>
        </is>
      </c>
      <c r="B67" s="5" t="inlineStr">
        <is>
          <t>MIDDLE</t>
        </is>
      </c>
    </row>
    <row r="68">
      <c r="A68" s="5" t="inlineStr">
        <is>
          <t>MIDDLE SALES B2B (ES PROJECT) POST SALES</t>
        </is>
      </c>
      <c r="B68" s="5" t="inlineStr">
        <is>
          <t>MIDDLE</t>
        </is>
      </c>
    </row>
    <row r="69">
      <c r="A69" s="5" t="inlineStr">
        <is>
          <t>MIDDLE SALES B2B (ID)</t>
        </is>
      </c>
      <c r="B69" s="5" t="inlineStr">
        <is>
          <t>MIDDLE</t>
        </is>
      </c>
    </row>
    <row r="70">
      <c r="A70" s="5" t="inlineStr">
        <is>
          <t>MIDDLE SALES B2B ES PROJECT</t>
        </is>
      </c>
      <c r="B70" s="5" t="inlineStr">
        <is>
          <t>MIDDLE</t>
        </is>
      </c>
    </row>
    <row r="71">
      <c r="A71" s="5" t="inlineStr">
        <is>
          <t>MIDDLE SALES D2D</t>
        </is>
      </c>
      <c r="B71" s="5" t="inlineStr">
        <is>
          <t>MIDDLE</t>
        </is>
      </c>
    </row>
    <row r="72">
      <c r="A72" s="5" t="inlineStr">
        <is>
          <t>MIDDLE SCM</t>
        </is>
      </c>
      <c r="B72" s="5" t="inlineStr">
        <is>
          <t>MIDDLE</t>
        </is>
      </c>
    </row>
    <row r="73">
      <c r="A73" s="5" t="inlineStr">
        <is>
          <t>MIDDLE SVC NHA TRANG</t>
        </is>
      </c>
      <c r="B73" s="5" t="inlineStr">
        <is>
          <t>MIDDLE</t>
        </is>
      </c>
    </row>
    <row r="74">
      <c r="A74" s="5" t="inlineStr">
        <is>
          <t>MS ID&amp;IT PM</t>
        </is>
      </c>
      <c r="B74" s="5" t="inlineStr">
        <is>
          <t>Quản lý &amp; khác</t>
        </is>
      </c>
    </row>
    <row r="75">
      <c r="A75" s="5" t="inlineStr">
        <is>
          <t>NORTH ACCOUNTING TEAM</t>
        </is>
      </c>
      <c r="B75" s="5" t="inlineStr">
        <is>
          <t>NORTH</t>
        </is>
      </c>
    </row>
    <row r="76">
      <c r="A76" s="5" t="inlineStr">
        <is>
          <t>NORTH AUDIT TEAM</t>
        </is>
      </c>
      <c r="B76" s="5" t="inlineStr">
        <is>
          <t>NORTH</t>
        </is>
      </c>
    </row>
    <row r="77">
      <c r="A77" s="5" t="inlineStr">
        <is>
          <t>NORTH BUSINESS INNOVATION TEAM</t>
        </is>
      </c>
      <c r="B77" s="5" t="inlineStr">
        <is>
          <t>NORTH</t>
        </is>
      </c>
    </row>
    <row r="78">
      <c r="A78" s="5" t="inlineStr">
        <is>
          <t>NORTH BUSINESS PLANNING</t>
        </is>
      </c>
      <c r="B78" s="5" t="inlineStr">
        <is>
          <t>NORTH</t>
        </is>
      </c>
    </row>
    <row r="79">
      <c r="A79" s="5" t="inlineStr">
        <is>
          <t>NORTH CHANNEL STRATEGY</t>
        </is>
      </c>
      <c r="B79" s="5" t="inlineStr">
        <is>
          <t>NORTH</t>
        </is>
      </c>
    </row>
    <row r="80">
      <c r="A80" s="5" t="inlineStr">
        <is>
          <t>NORTH CORP.MARKETING</t>
        </is>
      </c>
      <c r="B80" s="5" t="inlineStr">
        <is>
          <t>NORTH</t>
        </is>
      </c>
    </row>
    <row r="81">
      <c r="A81" s="5" t="inlineStr">
        <is>
          <t>NORTH CUSTOMER CARE &amp; SERVICE CIC TEAM</t>
        </is>
      </c>
      <c r="B81" s="5" t="inlineStr">
        <is>
          <t>NORTH</t>
        </is>
      </c>
    </row>
    <row r="82">
      <c r="A82" s="5" t="inlineStr">
        <is>
          <t>NORTH CUSTOMER CARE &amp; SERVICE DAM QUANG TRUNG</t>
        </is>
      </c>
      <c r="B82" s="5" t="inlineStr">
        <is>
          <t>NORTH</t>
        </is>
      </c>
    </row>
    <row r="83">
      <c r="A83" s="5" t="inlineStr">
        <is>
          <t>NORTH CUSTOMER CARE &amp; SERVICE HAI PHONG</t>
        </is>
      </c>
      <c r="B83" s="5" t="inlineStr">
        <is>
          <t>NORTH</t>
        </is>
      </c>
    </row>
    <row r="84">
      <c r="A84" s="5" t="inlineStr">
        <is>
          <t>NORTH CUSTOMER CARE &amp; SERVICE LE VAN LUONG</t>
        </is>
      </c>
      <c r="B84" s="5" t="inlineStr">
        <is>
          <t>NORTH</t>
        </is>
      </c>
    </row>
    <row r="85">
      <c r="A85" s="5" t="inlineStr">
        <is>
          <t>NORTH CUSTOMER CARE &amp; SERVICE NETWORK</t>
        </is>
      </c>
      <c r="B85" s="5" t="inlineStr">
        <is>
          <t>NORTH</t>
        </is>
      </c>
    </row>
    <row r="86">
      <c r="A86" s="5" t="inlineStr">
        <is>
          <t>NORTH CUSTOMER CARE &amp; SERVICE NETWORK_Nationwide</t>
        </is>
      </c>
      <c r="B86" s="5" t="inlineStr">
        <is>
          <t>NORTH</t>
        </is>
      </c>
    </row>
    <row r="87">
      <c r="A87" s="5" t="inlineStr">
        <is>
          <t>NORTH CUSTOMER CARE &amp; SERVICE NEW BUSINESS</t>
        </is>
      </c>
      <c r="B87" s="5" t="inlineStr">
        <is>
          <t>NORTH</t>
        </is>
      </c>
    </row>
    <row r="88">
      <c r="A88" s="5" t="inlineStr">
        <is>
          <t>NORTH CUSTOMER CARE &amp; SERVICE OPERATION TASK</t>
        </is>
      </c>
      <c r="B88" s="5" t="inlineStr">
        <is>
          <t>NORTH</t>
        </is>
      </c>
    </row>
    <row r="89">
      <c r="A89" s="5" t="inlineStr">
        <is>
          <t>NORTH CUSTOMER CARE &amp; SERVICE PART</t>
        </is>
      </c>
      <c r="B89" s="5" t="inlineStr">
        <is>
          <t>NORTH</t>
        </is>
      </c>
    </row>
    <row r="90">
      <c r="A90" s="5" t="inlineStr">
        <is>
          <t>NORTH CUSTOMER CARE &amp; SERVICE SUPPORTING</t>
        </is>
      </c>
      <c r="B90" s="5" t="inlineStr">
        <is>
          <t>NORTH</t>
        </is>
      </c>
    </row>
    <row r="91">
      <c r="A91" s="5" t="inlineStr">
        <is>
          <t>NORTH DEMAND PLANNING</t>
        </is>
      </c>
      <c r="B91" s="5" t="inlineStr">
        <is>
          <t>NORTH</t>
        </is>
      </c>
    </row>
    <row r="92">
      <c r="A92" s="5" t="inlineStr">
        <is>
          <t>NORTH DIGITAL MARKETING</t>
        </is>
      </c>
      <c r="B92" s="5" t="inlineStr">
        <is>
          <t>NORTH</t>
        </is>
      </c>
    </row>
    <row r="93">
      <c r="A93" s="5" t="inlineStr">
        <is>
          <t>NORTH FINANCE TEAM</t>
        </is>
      </c>
      <c r="B93" s="5" t="inlineStr">
        <is>
          <t>NORTH</t>
        </is>
      </c>
    </row>
    <row r="94">
      <c r="A94" s="5" t="inlineStr">
        <is>
          <t>NORTH GENERAL PROCUREMENT</t>
        </is>
      </c>
      <c r="B94" s="5" t="inlineStr">
        <is>
          <t>NORTH</t>
        </is>
      </c>
    </row>
    <row r="95">
      <c r="A95" s="5" t="inlineStr">
        <is>
          <t>NORTH GENERAL AFFAIR</t>
        </is>
      </c>
      <c r="B95" s="5" t="inlineStr">
        <is>
          <t>NORTH</t>
        </is>
      </c>
    </row>
    <row r="96">
      <c r="A96" s="5" t="inlineStr">
        <is>
          <t>NORTH GTM TRAINING</t>
        </is>
      </c>
      <c r="B96" s="5" t="inlineStr">
        <is>
          <t>NORTH</t>
        </is>
      </c>
    </row>
    <row r="97">
      <c r="A97" s="5" t="inlineStr">
        <is>
          <t>NORTH HUMAN RESOURCES</t>
        </is>
      </c>
      <c r="B97" s="5" t="inlineStr">
        <is>
          <t>NORTH</t>
        </is>
      </c>
    </row>
    <row r="98">
      <c r="A98" s="5" t="inlineStr">
        <is>
          <t>NORTH INFORMATIC TECHNOLOGY</t>
        </is>
      </c>
      <c r="B98" s="5" t="inlineStr">
        <is>
          <t>NORTH</t>
        </is>
      </c>
    </row>
    <row r="99">
      <c r="A99" s="5" t="inlineStr">
        <is>
          <t>NORTH LEGAL</t>
        </is>
      </c>
      <c r="B99" s="5" t="inlineStr">
        <is>
          <t>NORTH</t>
        </is>
      </c>
    </row>
    <row r="100">
      <c r="A100" s="5" t="inlineStr">
        <is>
          <t>NORTH RETAIL MKT</t>
        </is>
      </c>
      <c r="B100" s="5" t="inlineStr">
        <is>
          <t>NORTH</t>
        </is>
      </c>
    </row>
    <row r="101">
      <c r="A101" s="5" t="inlineStr">
        <is>
          <t>NORTH SALES (MS IT)</t>
        </is>
      </c>
      <c r="B101" s="5" t="inlineStr">
        <is>
          <t>NORTH</t>
        </is>
      </c>
    </row>
    <row r="102">
      <c r="A102" s="5" t="inlineStr">
        <is>
          <t>NORTH SALES ADMINISTRATION</t>
        </is>
      </c>
      <c r="B102" s="5" t="inlineStr">
        <is>
          <t>NORTH</t>
        </is>
      </c>
    </row>
    <row r="103">
      <c r="A103" s="5" t="inlineStr">
        <is>
          <t>NORTH SALES B2B (ES PROJECT) POST SALES</t>
        </is>
      </c>
      <c r="B103" s="5" t="inlineStr">
        <is>
          <t>NORTH</t>
        </is>
      </c>
    </row>
    <row r="104">
      <c r="A104" s="5" t="inlineStr">
        <is>
          <t>NORTH SALES B2B (ES PROJECT) Total HVAC Solution</t>
        </is>
      </c>
      <c r="B104" s="5" t="inlineStr">
        <is>
          <t>NORTH</t>
        </is>
      </c>
    </row>
    <row r="105">
      <c r="A105" s="5" t="inlineStr">
        <is>
          <t>NORTH SALES B2B (MS ID)</t>
        </is>
      </c>
      <c r="B105" s="5" t="inlineStr">
        <is>
          <t>NORTH</t>
        </is>
      </c>
    </row>
    <row r="106">
      <c r="A106" s="5" t="inlineStr">
        <is>
          <t>NORTH SALES B2B ES PROJECT</t>
        </is>
      </c>
      <c r="B106" s="5" t="inlineStr">
        <is>
          <t>NORTH</t>
        </is>
      </c>
    </row>
    <row r="107">
      <c r="A107" s="5" t="inlineStr">
        <is>
          <t>NORTH SALES B2B ES PROJECT QUANG NINH</t>
        </is>
      </c>
      <c r="B107" s="5" t="inlineStr">
        <is>
          <t>NORTH</t>
        </is>
      </c>
    </row>
    <row r="108">
      <c r="A108" s="5" t="inlineStr">
        <is>
          <t>NORTH SALES B2B ES PROJECT SE</t>
        </is>
      </c>
      <c r="B108" s="5" t="inlineStr">
        <is>
          <t>NORTH</t>
        </is>
      </c>
    </row>
    <row r="109">
      <c r="A109" s="5" t="inlineStr">
        <is>
          <t>NORTH SALES B2B MS MEDICAL</t>
        </is>
      </c>
      <c r="B109" s="5" t="inlineStr">
        <is>
          <t>NORTH</t>
        </is>
      </c>
    </row>
    <row r="110">
      <c r="A110" s="5" t="inlineStr">
        <is>
          <t>NORTH SALES D2D</t>
        </is>
      </c>
      <c r="B110" s="5" t="inlineStr">
        <is>
          <t>NORTH</t>
        </is>
      </c>
    </row>
    <row r="111">
      <c r="A111" s="5" t="inlineStr">
        <is>
          <t>NORTH SALES D2D NEW BUSINESS PART</t>
        </is>
      </c>
      <c r="B111" s="5" t="inlineStr">
        <is>
          <t>NORTH</t>
        </is>
      </c>
    </row>
    <row r="112">
      <c r="A112" s="5" t="inlineStr">
        <is>
          <t>NORTH SALES ES CHANNEL</t>
        </is>
      </c>
      <c r="B112" s="5" t="inlineStr">
        <is>
          <t>NORTH</t>
        </is>
      </c>
    </row>
    <row r="113">
      <c r="A113" s="5" t="inlineStr">
        <is>
          <t>NORTH SALES SAC CHANNEL</t>
        </is>
      </c>
      <c r="B113" s="5" t="inlineStr">
        <is>
          <t>NORTH</t>
        </is>
      </c>
    </row>
    <row r="114">
      <c r="A114" s="5" t="inlineStr">
        <is>
          <t>NORTH SCM</t>
        </is>
      </c>
      <c r="B114" s="5" t="inlineStr">
        <is>
          <t>NORTH</t>
        </is>
      </c>
    </row>
    <row r="115">
      <c r="A115" s="5" t="inlineStr">
        <is>
          <t>NORTH TAX TEAM</t>
        </is>
      </c>
      <c r="B115" s="5" t="inlineStr">
        <is>
          <t>NORTH</t>
        </is>
      </c>
    </row>
    <row r="116">
      <c r="A116" s="5" t="inlineStr">
        <is>
          <t>OPERATION HEAD</t>
        </is>
      </c>
      <c r="B116" s="5" t="inlineStr">
        <is>
          <t>Quản lý &amp; khác</t>
        </is>
      </c>
    </row>
    <row r="117">
      <c r="A117" s="5" t="inlineStr">
        <is>
          <t>PD ES CHANNEL</t>
        </is>
      </c>
      <c r="B117" s="5" t="inlineStr">
        <is>
          <t>PM / PD</t>
        </is>
      </c>
    </row>
    <row r="118">
      <c r="A118" s="5" t="inlineStr">
        <is>
          <t>PD ES PROJECT</t>
        </is>
      </c>
      <c r="B118" s="5" t="inlineStr">
        <is>
          <t>PM / PD</t>
        </is>
      </c>
    </row>
    <row r="119">
      <c r="A119" s="5" t="inlineStr">
        <is>
          <t>PD HS</t>
        </is>
      </c>
      <c r="B119" s="5" t="inlineStr">
        <is>
          <t>PM / PD</t>
        </is>
      </c>
    </row>
    <row r="120">
      <c r="A120" s="5" t="inlineStr">
        <is>
          <t>PD MS</t>
        </is>
      </c>
      <c r="B120" s="5" t="inlineStr">
        <is>
          <t>PM / PD</t>
        </is>
      </c>
    </row>
    <row r="121">
      <c r="A121" s="5" t="inlineStr">
        <is>
          <t>PD MS ID&amp;IT</t>
        </is>
      </c>
      <c r="B121" s="5" t="inlineStr">
        <is>
          <t>PM / PD</t>
        </is>
      </c>
    </row>
    <row r="122">
      <c r="A122" s="5" t="inlineStr">
        <is>
          <t>PM ES AIRCARE</t>
        </is>
      </c>
      <c r="B122" s="5" t="inlineStr">
        <is>
          <t>PM / PD</t>
        </is>
      </c>
    </row>
    <row r="123">
      <c r="A123" s="5" t="inlineStr">
        <is>
          <t>PM ES CAC</t>
        </is>
      </c>
      <c r="B123" s="5" t="inlineStr">
        <is>
          <t>PM / PD</t>
        </is>
      </c>
    </row>
    <row r="124">
      <c r="A124" s="5" t="inlineStr">
        <is>
          <t>PM HS</t>
        </is>
      </c>
      <c r="B124" s="5" t="inlineStr">
        <is>
          <t>PM / PD</t>
        </is>
      </c>
    </row>
    <row r="125">
      <c r="A125" s="5" t="inlineStr">
        <is>
          <t>PM MS</t>
        </is>
      </c>
      <c r="B125" s="5" t="inlineStr">
        <is>
          <t>PM / PD</t>
        </is>
      </c>
    </row>
    <row r="126">
      <c r="A126" s="5" t="inlineStr">
        <is>
          <t>PM MS ID</t>
        </is>
      </c>
      <c r="B126" s="5" t="inlineStr">
        <is>
          <t>PM / PD</t>
        </is>
      </c>
    </row>
    <row r="127">
      <c r="A127" s="5" t="inlineStr">
        <is>
          <t>PM MS IT</t>
        </is>
      </c>
      <c r="B127" s="5" t="inlineStr">
        <is>
          <t>PM / PD</t>
        </is>
      </c>
    </row>
    <row r="128">
      <c r="A128" s="5" t="inlineStr">
        <is>
          <t>SAL CFO</t>
        </is>
      </c>
      <c r="B128" s="5" t="inlineStr">
        <is>
          <t>Quản lý &amp; khác</t>
        </is>
      </c>
    </row>
    <row r="129">
      <c r="A129" s="5" t="inlineStr">
        <is>
          <t>SAL DGD</t>
        </is>
      </c>
      <c r="B129" s="5" t="inlineStr">
        <is>
          <t>Quản lý &amp; khác</t>
        </is>
      </c>
    </row>
    <row r="130">
      <c r="A130" s="5" t="inlineStr">
        <is>
          <t>SALES B2B ES PROJECT HEAD</t>
        </is>
      </c>
      <c r="B130" s="5" t="inlineStr">
        <is>
          <t>Quản lý &amp; khác</t>
        </is>
      </c>
    </row>
    <row r="131">
      <c r="A131" s="5" t="inlineStr">
        <is>
          <t>SALES B2B MS ID HEAD</t>
        </is>
      </c>
      <c r="B131" s="5" t="inlineStr">
        <is>
          <t>Quản lý &amp; khác</t>
        </is>
      </c>
    </row>
    <row r="132">
      <c r="A132" s="5" t="inlineStr">
        <is>
          <t>SALES ES CHANNEL HEAD</t>
        </is>
      </c>
      <c r="B132" s="5" t="inlineStr">
        <is>
          <t>Quản lý &amp; khác</t>
        </is>
      </c>
    </row>
    <row r="133">
      <c r="A133" s="5" t="inlineStr">
        <is>
          <t>SOUTH ACCOUNTING TEAM</t>
        </is>
      </c>
      <c r="B133" s="5" t="inlineStr">
        <is>
          <t>SOUTH</t>
        </is>
      </c>
    </row>
    <row r="134">
      <c r="A134" s="5" t="inlineStr">
        <is>
          <t>SOUTH AR MANAGEMENT TEAM</t>
        </is>
      </c>
      <c r="B134" s="5" t="inlineStr">
        <is>
          <t>SOUTH</t>
        </is>
      </c>
    </row>
    <row r="135">
      <c r="A135" s="5" t="inlineStr">
        <is>
          <t>SOUTH BUSINESS INNOVATION TEAM</t>
        </is>
      </c>
      <c r="B135" s="5" t="inlineStr">
        <is>
          <t>SOUTH</t>
        </is>
      </c>
    </row>
    <row r="136">
      <c r="A136" s="5" t="inlineStr">
        <is>
          <t>SOUTH CHANNEL STRATEGY</t>
        </is>
      </c>
      <c r="B136" s="5" t="inlineStr">
        <is>
          <t>SOUTH</t>
        </is>
      </c>
    </row>
    <row r="137">
      <c r="A137" s="5" t="inlineStr">
        <is>
          <t>SOUTH CORP.MARKETING</t>
        </is>
      </c>
      <c r="B137" s="5" t="inlineStr">
        <is>
          <t>SOUTH</t>
        </is>
      </c>
    </row>
    <row r="138">
      <c r="A138" s="5" t="inlineStr">
        <is>
          <t>SOUTH CUSTOMER CARE &amp; SERVICE BINH DUONG</t>
        </is>
      </c>
      <c r="B138" s="5" t="inlineStr">
        <is>
          <t>SOUTH</t>
        </is>
      </c>
    </row>
    <row r="139">
      <c r="A139" s="5" t="inlineStr">
        <is>
          <t>SOUTH CUSTOMER CARE &amp; SERVICE CAN THO</t>
        </is>
      </c>
      <c r="B139" s="5" t="inlineStr">
        <is>
          <t>SOUTH</t>
        </is>
      </c>
    </row>
    <row r="140">
      <c r="A140" s="5" t="inlineStr">
        <is>
          <t>SOUTH CUSTOMER CARE &amp; SERVICE HUYNH TAN PHAT</t>
        </is>
      </c>
      <c r="B140" s="5" t="inlineStr">
        <is>
          <t>SOUTH</t>
        </is>
      </c>
    </row>
    <row r="141">
      <c r="A141" s="5" t="inlineStr">
        <is>
          <t>SOUTH CUSTOMER CARE &amp; SERVICE NETWORK</t>
        </is>
      </c>
      <c r="B141" s="5" t="inlineStr">
        <is>
          <t>SOUTH</t>
        </is>
      </c>
    </row>
    <row r="142">
      <c r="A142" s="5" t="inlineStr">
        <is>
          <t>SOUTH CUSTOMER CARE &amp; SERVICE PHAN VAN TRI</t>
        </is>
      </c>
      <c r="B142" s="5" t="inlineStr">
        <is>
          <t>SOUTH</t>
        </is>
      </c>
    </row>
    <row r="143">
      <c r="A143" s="5" t="inlineStr">
        <is>
          <t>SOUTH CUSTOMER CARE &amp; SERVICE SUPPORTING</t>
        </is>
      </c>
      <c r="B143" s="5" t="inlineStr">
        <is>
          <t>SOUTH</t>
        </is>
      </c>
    </row>
    <row r="144">
      <c r="A144" s="5" t="inlineStr">
        <is>
          <t>SOUTH DIGITAL MARKETING</t>
        </is>
      </c>
      <c r="B144" s="5" t="inlineStr">
        <is>
          <t>SOUTH</t>
        </is>
      </c>
    </row>
    <row r="145">
      <c r="A145" s="5" t="inlineStr">
        <is>
          <t>SOUTH GENERAL AFFAIR</t>
        </is>
      </c>
      <c r="B145" s="5" t="inlineStr">
        <is>
          <t>SOUTH</t>
        </is>
      </c>
    </row>
    <row r="146">
      <c r="A146" s="5" t="inlineStr">
        <is>
          <t>SOUTH HUMAN RESOURCES</t>
        </is>
      </c>
      <c r="B146" s="5" t="inlineStr">
        <is>
          <t>SOUTH</t>
        </is>
      </c>
    </row>
    <row r="147">
      <c r="A147" s="5" t="inlineStr">
        <is>
          <t>SOUTH INFORMATIC TECHNOLOGY</t>
        </is>
      </c>
      <c r="B147" s="5" t="inlineStr">
        <is>
          <t>SOUTH</t>
        </is>
      </c>
    </row>
    <row r="148">
      <c r="A148" s="5" t="inlineStr">
        <is>
          <t>SOUTH OBS OPERATION</t>
        </is>
      </c>
      <c r="B148" s="5" t="inlineStr">
        <is>
          <t>SOUTH</t>
        </is>
      </c>
    </row>
    <row r="149">
      <c r="A149" s="5" t="inlineStr">
        <is>
          <t>SOUTH PM ES RAC</t>
        </is>
      </c>
      <c r="B149" s="5" t="inlineStr">
        <is>
          <t>SOUTH</t>
        </is>
      </c>
    </row>
    <row r="150">
      <c r="A150" s="5" t="inlineStr">
        <is>
          <t>SOUTH PM HS</t>
        </is>
      </c>
      <c r="B150" s="5" t="inlineStr">
        <is>
          <t>SOUTH</t>
        </is>
      </c>
    </row>
    <row r="151">
      <c r="A151" s="5" t="inlineStr">
        <is>
          <t>SOUTH RETAIL MKT</t>
        </is>
      </c>
      <c r="B151" s="5" t="inlineStr">
        <is>
          <t>SOUTH</t>
        </is>
      </c>
    </row>
    <row r="152">
      <c r="A152" s="5" t="inlineStr">
        <is>
          <t>SOUTH SALES ADMINISTRATION</t>
        </is>
      </c>
      <c r="B152" s="5" t="inlineStr">
        <is>
          <t>SOUTH</t>
        </is>
      </c>
    </row>
    <row r="153">
      <c r="A153" s="5" t="inlineStr">
        <is>
          <t>SOUTH SALES B2B (ES PROJECT) POST SALES</t>
        </is>
      </c>
      <c r="B153" s="5" t="inlineStr">
        <is>
          <t>SOUTH</t>
        </is>
      </c>
    </row>
    <row r="154">
      <c r="A154" s="5" t="inlineStr">
        <is>
          <t>SOUTH SALES B2B (ES PROJECT) Total HVAC Solution</t>
        </is>
      </c>
      <c r="B154" s="5" t="inlineStr">
        <is>
          <t>SOUTH</t>
        </is>
      </c>
    </row>
    <row r="155">
      <c r="A155" s="5" t="inlineStr">
        <is>
          <t>SOUTH SALES B2B (MS ID)</t>
        </is>
      </c>
      <c r="B155" s="5" t="inlineStr">
        <is>
          <t>SOUTH</t>
        </is>
      </c>
    </row>
    <row r="156">
      <c r="A156" s="5" t="inlineStr">
        <is>
          <t>SOUTH SALES B2B ES PROJECT</t>
        </is>
      </c>
      <c r="B156" s="5" t="inlineStr">
        <is>
          <t>SOUTH</t>
        </is>
      </c>
    </row>
    <row r="157">
      <c r="A157" s="5" t="inlineStr">
        <is>
          <t>SOUTH SALES B2B ES PROJECT SE</t>
        </is>
      </c>
      <c r="B157" s="5" t="inlineStr">
        <is>
          <t>SOUTH</t>
        </is>
      </c>
    </row>
    <row r="158">
      <c r="A158" s="5" t="inlineStr">
        <is>
          <t>SOUTH SALES CWM TASK</t>
        </is>
      </c>
      <c r="B158" s="5" t="inlineStr">
        <is>
          <t>SOUTH</t>
        </is>
      </c>
    </row>
    <row r="159">
      <c r="A159" s="5" t="inlineStr">
        <is>
          <t>SOUTH SALES D2C CONSULTANT</t>
        </is>
      </c>
      <c r="B159" s="5" t="inlineStr">
        <is>
          <t>SOUTH</t>
        </is>
      </c>
    </row>
    <row r="160">
      <c r="A160" s="5" t="inlineStr">
        <is>
          <t>SOUTH SALES D2C FLATFORM</t>
        </is>
      </c>
      <c r="B160" s="5" t="inlineStr">
        <is>
          <t>SOUTH</t>
        </is>
      </c>
    </row>
    <row r="161">
      <c r="A161" s="5" t="inlineStr">
        <is>
          <t>SOUTH SALES D2C OBS</t>
        </is>
      </c>
      <c r="B161" s="5" t="inlineStr">
        <is>
          <t>SOUTH</t>
        </is>
      </c>
    </row>
    <row r="162">
      <c r="A162" s="5" t="inlineStr">
        <is>
          <t>SOUTH SALES D2D</t>
        </is>
      </c>
      <c r="B162" s="5" t="inlineStr">
        <is>
          <t>SOUTH</t>
        </is>
      </c>
    </row>
    <row r="163">
      <c r="A163" s="5" t="inlineStr">
        <is>
          <t>SOUTH SALES E-COMMERCE</t>
        </is>
      </c>
      <c r="B163" s="5" t="inlineStr">
        <is>
          <t>SOUTH</t>
        </is>
      </c>
    </row>
    <row r="164">
      <c r="A164" s="5" t="inlineStr">
        <is>
          <t>SOUTH SALES ES CHANNEL</t>
        </is>
      </c>
      <c r="B164" s="5" t="inlineStr">
        <is>
          <t>SOUTH</t>
        </is>
      </c>
    </row>
    <row r="165">
      <c r="A165" s="5" t="inlineStr">
        <is>
          <t>SOUTH SALES KAM (ES RAC)</t>
        </is>
      </c>
      <c r="B165" s="5" t="inlineStr">
        <is>
          <t>SOUTH</t>
        </is>
      </c>
    </row>
    <row r="166">
      <c r="A166" s="5" t="inlineStr">
        <is>
          <t>SOUTH SALES KAM (HS)</t>
        </is>
      </c>
      <c r="B166" s="5" t="inlineStr">
        <is>
          <t>SOUTH</t>
        </is>
      </c>
    </row>
    <row r="167">
      <c r="A167" s="5" t="inlineStr">
        <is>
          <t>SOUTH SALES KAM (MS)</t>
        </is>
      </c>
      <c r="B167" s="5" t="inlineStr">
        <is>
          <t>SOUTH</t>
        </is>
      </c>
    </row>
    <row r="168">
      <c r="A168" s="5" t="inlineStr">
        <is>
          <t>SOUTH SALES MBW TEAM</t>
        </is>
      </c>
      <c r="B168" s="5" t="inlineStr">
        <is>
          <t>SOUTH</t>
        </is>
      </c>
    </row>
    <row r="169">
      <c r="A169" s="5" t="inlineStr">
        <is>
          <t>SOUTH SALES MODERN CHANNEL</t>
        </is>
      </c>
      <c r="B169" s="5" t="inlineStr">
        <is>
          <t>SOUTH</t>
        </is>
      </c>
    </row>
    <row r="170">
      <c r="A170" s="5" t="inlineStr">
        <is>
          <t>SOUTH SALES MODERN CHANNEL (HS)</t>
        </is>
      </c>
      <c r="B170" s="5" t="inlineStr">
        <is>
          <t>SOUTH</t>
        </is>
      </c>
    </row>
    <row r="171">
      <c r="A171" s="5" t="inlineStr">
        <is>
          <t>SOUTH SALES MS IT</t>
        </is>
      </c>
      <c r="B171" s="5" t="inlineStr">
        <is>
          <t>SOUTH</t>
        </is>
      </c>
    </row>
    <row r="172">
      <c r="A172" s="5" t="inlineStr">
        <is>
          <t>SOUTH SCM</t>
        </is>
      </c>
      <c r="B172" s="5" t="inlineStr">
        <is>
          <t>SOUTH</t>
        </is>
      </c>
    </row>
    <row r="173">
      <c r="A173" s="5" t="inlineStr">
        <is>
          <t>SOUTH TAX TEAM</t>
        </is>
      </c>
      <c r="B173" s="5" t="inlineStr">
        <is>
          <t>SOUTH</t>
        </is>
      </c>
    </row>
    <row r="174">
      <c r="A174" s="5" t="inlineStr">
        <is>
          <t>OTHER</t>
        </is>
      </c>
      <c r="B174" s="5" t="inlineStr">
        <is>
          <t>OTHER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60" customWidth="1" min="3" max="3"/>
  </cols>
  <sheetData>
    <row r="1" ht="30" customHeight="1">
      <c r="A1" s="7" t="inlineStr">
        <is>
          <t>Key</t>
        </is>
      </c>
      <c r="B1" s="7" t="inlineStr">
        <is>
          <t>Value</t>
        </is>
      </c>
      <c r="C1" s="7" t="inlineStr">
        <is>
          <t>Description</t>
        </is>
      </c>
    </row>
    <row r="2">
      <c r="A2" s="3" t="inlineStr">
        <is>
          <t>CAMPAIGN_CODE</t>
        </is>
      </c>
      <c r="B2" s="9" t="n"/>
      <c r="C2" s="2" t="inlineStr">
        <is>
          <t>Mã đợt bán, ví dụ IS-2026-10-01</t>
        </is>
      </c>
    </row>
    <row r="3">
      <c r="A3" s="3" t="inlineStr">
        <is>
          <t>CAMPAIGN_NAME</t>
        </is>
      </c>
      <c r="B3" s="9" t="n"/>
      <c r="C3" s="2" t="inlineStr">
        <is>
          <t>Tên đợt bán hiển thị trên trang đăng ký</t>
        </is>
      </c>
    </row>
    <row r="4">
      <c r="A4" s="3" t="inlineStr">
        <is>
          <t>OPEN_TIME</t>
        </is>
      </c>
      <c r="B4" s="9" t="n"/>
      <c r="C4" s="2" t="inlineStr">
        <is>
          <t>Thời điểm mở cổng (dd/mm/yyyy hh:mm)</t>
        </is>
      </c>
    </row>
    <row r="5">
      <c r="A5" s="3" t="inlineStr">
        <is>
          <t>CLOSE_TIME</t>
        </is>
      </c>
      <c r="B5" s="9" t="n"/>
      <c r="C5" s="2" t="inlineStr">
        <is>
          <t>Hạn chót đăng ký (dd/mm/yyyy hh:mm)</t>
        </is>
      </c>
    </row>
    <row r="6">
      <c r="A6" s="3" t="inlineStr">
        <is>
          <t>MAX_PER_EMPLOYEE</t>
        </is>
      </c>
      <c r="B6" s="5" t="n">
        <v>1</v>
      </c>
      <c r="C6" s="2" t="inlineStr">
        <is>
          <t>Hạn mức sản phẩm cho mỗi nhân viên (theo portal)</t>
        </is>
      </c>
    </row>
    <row r="7">
      <c r="A7" s="3" t="inlineStr">
        <is>
          <t>WAREHOUSES</t>
        </is>
      </c>
      <c r="B7" s="5" t="inlineStr">
        <is>
          <t>AYA, AYB, AYC</t>
        </is>
      </c>
      <c r="C7" s="2" t="inlineStr">
        <is>
          <t>Danh sách kho</t>
        </is>
      </c>
    </row>
    <row r="8">
      <c r="A8" s="3" t="inlineStr">
        <is>
          <t>SLOT_TOTAL</t>
        </is>
      </c>
      <c r="B8" s="5">
        <f>COUNTA(Slots!$C$2:$C$91)</f>
        <v/>
      </c>
      <c r="C8" s="2" t="inlineStr">
        <is>
          <t>Tự đếm từ sheet Slots</t>
        </is>
      </c>
    </row>
    <row r="9">
      <c r="A9" s="3" t="inlineStr">
        <is>
          <t>PIC_EMAIL_PRIMARY</t>
        </is>
      </c>
      <c r="B9" s="9" t="n"/>
      <c r="C9" s="2" t="inlineStr">
        <is>
          <t>Email PM phụ trách, nhận thông báo đăng ký</t>
        </is>
      </c>
    </row>
    <row r="10">
      <c r="A10" s="3" t="inlineStr">
        <is>
          <t>PIC_EMAIL_CC</t>
        </is>
      </c>
      <c r="B10" s="9" t="n"/>
      <c r="C10" s="2" t="inlineStr">
        <is>
          <t>Email CC (để trống nếu không có)</t>
        </is>
      </c>
    </row>
    <row r="11">
      <c r="A11" s="3" t="inlineStr">
        <is>
          <t>PIC_NAME_PRIMARY</t>
        </is>
      </c>
      <c r="B11" s="9" t="n"/>
      <c r="C11" s="2" t="inlineStr">
        <is>
          <t>Tên hiển thị PM phụ trách</t>
        </is>
      </c>
    </row>
    <row r="12">
      <c r="A12" s="3" t="inlineStr">
        <is>
          <t>BANK_ACCOUNT_NAME</t>
        </is>
      </c>
      <c r="B12" s="9" t="inlineStr">
        <is>
          <t>CÔNG TY TNHH LG ELECTRONICS VIỆT NAM HẢI PHÒNG</t>
        </is>
      </c>
      <c r="C12" s="2" t="inlineStr">
        <is>
          <t>Lấy từ bản mẫu portal. Cần Tài chính xác nhận trước khi dùng</t>
        </is>
      </c>
    </row>
    <row r="13">
      <c r="A13" s="3" t="inlineStr">
        <is>
          <t>BANK_ACCOUNT_NO</t>
        </is>
      </c>
      <c r="B13" s="10" t="inlineStr">
        <is>
          <t>0991000012525</t>
        </is>
      </c>
      <c r="C13" s="2" t="inlineStr">
        <is>
          <t>Lấy từ bản mẫu portal. Cần Tài chính xác nhận trước khi dùng</t>
        </is>
      </c>
    </row>
    <row r="14">
      <c r="A14" s="3" t="inlineStr">
        <is>
          <t>BANK_NAME</t>
        </is>
      </c>
      <c r="B14" s="9" t="inlineStr">
        <is>
          <t>Vietcombank - Chi nhánh Tây Hồ</t>
        </is>
      </c>
      <c r="C14" s="2" t="inlineStr">
        <is>
          <t>Lấy từ bản mẫu portal. Cần Tài chính xác nhận trước khi dùng</t>
        </is>
      </c>
    </row>
    <row r="15">
      <c r="A15" s="3" t="inlineStr">
        <is>
          <t>TRANSFER_SYNTAX</t>
        </is>
      </c>
      <c r="B15" s="5" t="inlineStr">
        <is>
          <t>[Mã NV] - [Họ Tên] - [Mã Model] - [Slot ID]</t>
        </is>
      </c>
      <c r="C15" s="2" t="inlineStr">
        <is>
          <t>Cú pháp nội dung chuyển khoản</t>
        </is>
      </c>
    </row>
    <row r="17">
      <c r="A17" s="2" t="inlineStr">
        <is>
          <t>Ô nền vàng: cần điền hoặc cần xác nhận trước khi mở đợt bán.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9" customWidth="1" min="4" max="4"/>
    <col width="50" customWidth="1" min="5" max="5"/>
    <col width="30" customWidth="1" min="6" max="6"/>
  </cols>
  <sheetData>
    <row r="1" ht="30" customHeight="1">
      <c r="A1" s="7" t="inlineStr">
        <is>
          <t>Timestamp</t>
        </is>
      </c>
      <c r="B1" s="7" t="inlineStr">
        <is>
          <t>Action</t>
        </is>
      </c>
      <c r="C1" s="7" t="inlineStr">
        <is>
          <t>Mã NV</t>
        </is>
      </c>
      <c r="D1" s="7" t="inlineStr">
        <is>
          <t>Slot ID</t>
        </is>
      </c>
      <c r="E1" s="7" t="inlineStr">
        <is>
          <t>User Agent</t>
        </is>
      </c>
      <c r="F1" s="7" t="inlineStr">
        <is>
          <t>Details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26" customWidth="1" min="4" max="4"/>
    <col width="19" customWidth="1" min="5" max="5"/>
  </cols>
  <sheetData>
    <row r="1" ht="30" customHeight="1">
      <c r="A1" s="7" t="inlineStr">
        <is>
          <t>Họ Tên</t>
        </is>
      </c>
      <c r="B1" s="7" t="inlineStr">
        <is>
          <t>Mã NV</t>
        </is>
      </c>
      <c r="C1" s="7" t="inlineStr">
        <is>
          <t>Email</t>
        </is>
      </c>
      <c r="D1" s="7" t="inlineStr">
        <is>
          <t>Loại Email</t>
        </is>
      </c>
      <c r="E1" s="7" t="inlineStr">
        <is>
          <t>Thời Gian Gửi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2026-09-28T08:40:13Z</dcterms:created>
  <dcterms:modified xmlns:dcterms="http://purl.org/dc/terms/" xmlns:xsi="http://www.w3.org/2001/XMLSchema-instance" xsi:type="dcterms:W3CDTF">2026-09-28T08:40:13Z</dcterms:modified>
</cp:coreProperties>
</file>